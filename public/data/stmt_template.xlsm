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C3EDC469-E630-4204-96CA-A94318EF05CA}" xr6:coauthVersionLast="47" xr6:coauthVersionMax="47" xr10:uidLastSave="{00000000-0000-0000-0000-000000000000}"/>
  <bookViews>
    <workbookView xWindow="-108" yWindow="-108" windowWidth="23256" windowHeight="12456" tabRatio="895" activeTab="2" xr2:uid="{00000000-000D-0000-FFFF-FFFF00000000}"/>
  </bookViews>
  <sheets>
    <sheet name="YJLee" sheetId="1506" r:id="rId1"/>
    <sheet name="PO" sheetId="1494" r:id="rId2"/>
    <sheet name="4522449554" sheetId="1539" r:id="rId3"/>
    <sheet name="4522449547" sheetId="1540" r:id="rId4"/>
    <sheet name="4522449557" sheetId="1541" r:id="rId5"/>
    <sheet name="4522449544" sheetId="1542" r:id="rId6"/>
    <sheet name="4522449556" sheetId="1543" r:id="rId7"/>
    <sheet name="4522449549" sheetId="1544" r:id="rId8"/>
    <sheet name="4522449546" sheetId="1545" r:id="rId9"/>
    <sheet name="4522459401" sheetId="1546" r:id="rId10"/>
    <sheet name="4522459389" sheetId="1547" r:id="rId11"/>
    <sheet name="4522520232" sheetId="1548" r:id="rId12"/>
    <sheet name="4522520207" sheetId="1549" r:id="rId13"/>
    <sheet name="4522520209" sheetId="1550" r:id="rId14"/>
    <sheet name="4522546968" sheetId="1551" r:id="rId15"/>
    <sheet name="4522546967" sheetId="1552" r:id="rId16"/>
    <sheet name="4522546931" sheetId="1553" r:id="rId17"/>
    <sheet name="4522546963" sheetId="1554" r:id="rId18"/>
    <sheet name="4522546928" sheetId="1555" r:id="rId19"/>
    <sheet name="4522546935" sheetId="1556" r:id="rId20"/>
    <sheet name="4522546971" sheetId="1557" r:id="rId21"/>
    <sheet name="4522539871" sheetId="1558" r:id="rId22"/>
    <sheet name="4522562202" sheetId="1559" r:id="rId23"/>
    <sheet name="4522562181" sheetId="1560" r:id="rId24"/>
    <sheet name="4522562205" sheetId="1561" r:id="rId25"/>
    <sheet name="4522562186" sheetId="1562" r:id="rId26"/>
    <sheet name="4522838376" sheetId="1563" r:id="rId27"/>
    <sheet name="4522838370" sheetId="1564" r:id="rId28"/>
    <sheet name="4522863918" sheetId="1565" r:id="rId29"/>
    <sheet name="4522863917" sheetId="1566" r:id="rId30"/>
    <sheet name="4522863924" sheetId="1567" r:id="rId31"/>
    <sheet name="4522863922" sheetId="1568" r:id="rId32"/>
    <sheet name="4522863919" sheetId="1569" r:id="rId33"/>
    <sheet name="4522863916" sheetId="1570" r:id="rId34"/>
    <sheet name="4522854364" sheetId="1571" r:id="rId35"/>
    <sheet name="4522863920" sheetId="1572" r:id="rId36"/>
    <sheet name="4522865630" sheetId="1573" r:id="rId37"/>
    <sheet name="4522865615" sheetId="1574" r:id="rId38"/>
    <sheet name="4522865627" sheetId="1575" r:id="rId39"/>
    <sheet name="4522865599" sheetId="1576" r:id="rId40"/>
    <sheet name="4522865612" sheetId="1577" r:id="rId41"/>
  </sheets>
  <definedNames>
    <definedName name="_xlnm._FilterDatabase" localSheetId="0" hidden="1">YJLee!$A$1:$AG$80</definedName>
    <definedName name="PO">YJLee!$AA:$AE</definedName>
    <definedName name="_xlnm.Print_Area" localSheetId="5">'4522449544'!$A$2:$V$22</definedName>
    <definedName name="_xlnm.Print_Area" localSheetId="8">'4522449546'!$A$2:$V$22</definedName>
    <definedName name="_xlnm.Print_Area" localSheetId="3">'4522449547'!$A$2:$V$22</definedName>
    <definedName name="_xlnm.Print_Area" localSheetId="7">'4522449549'!$A$2:$V$22</definedName>
    <definedName name="_xlnm.Print_Area" localSheetId="2">'4522449554'!$A$2:$V$22</definedName>
    <definedName name="_xlnm.Print_Area" localSheetId="6">'4522449556'!$A$2:$V$22</definedName>
    <definedName name="_xlnm.Print_Area" localSheetId="4">'4522449557'!$A$2:$V$22</definedName>
    <definedName name="_xlnm.Print_Area" localSheetId="10">'4522459389'!$A$2:$V$22</definedName>
    <definedName name="_xlnm.Print_Area" localSheetId="9">'4522459401'!$A$2:$V$22</definedName>
    <definedName name="_xlnm.Print_Area" localSheetId="12">'4522520207'!$A$2:$V$22</definedName>
    <definedName name="_xlnm.Print_Area" localSheetId="13">'4522520209'!$A$2:$V$22</definedName>
    <definedName name="_xlnm.Print_Area" localSheetId="11">'4522520232'!$A$2:$V$22</definedName>
    <definedName name="_xlnm.Print_Area" localSheetId="21">'4522539871'!$A$2:$V$22</definedName>
    <definedName name="_xlnm.Print_Area" localSheetId="18">'4522546928'!$A$2:$V$22</definedName>
    <definedName name="_xlnm.Print_Area" localSheetId="16">'4522546931'!$A$2:$V$22</definedName>
    <definedName name="_xlnm.Print_Area" localSheetId="19">'4522546935'!$A$2:$V$22</definedName>
    <definedName name="_xlnm.Print_Area" localSheetId="17">'4522546963'!$A$2:$V$22</definedName>
    <definedName name="_xlnm.Print_Area" localSheetId="15">'4522546967'!$A$2:$V$22</definedName>
    <definedName name="_xlnm.Print_Area" localSheetId="14">'4522546968'!$A$2:$V$22</definedName>
    <definedName name="_xlnm.Print_Area" localSheetId="20">'4522546971'!$A$2:$V$22</definedName>
    <definedName name="_xlnm.Print_Area" localSheetId="23">'4522562181'!$A$2:$V$22</definedName>
    <definedName name="_xlnm.Print_Area" localSheetId="25">'4522562186'!$A$2:$V$22</definedName>
    <definedName name="_xlnm.Print_Area" localSheetId="22">'4522562202'!$A$2:$V$22</definedName>
    <definedName name="_xlnm.Print_Area" localSheetId="24">'4522562205'!$A$2:$V$22</definedName>
    <definedName name="_xlnm.Print_Area" localSheetId="27">'4522838370'!$A$2:$V$22</definedName>
    <definedName name="_xlnm.Print_Area" localSheetId="26">'4522838376'!$A$2:$V$22</definedName>
    <definedName name="_xlnm.Print_Area" localSheetId="34">'4522854364'!$A$2:$V$22</definedName>
    <definedName name="_xlnm.Print_Area" localSheetId="33">'4522863916'!$A$2:$V$22</definedName>
    <definedName name="_xlnm.Print_Area" localSheetId="29">'4522863917'!$A$2:$V$22</definedName>
    <definedName name="_xlnm.Print_Area" localSheetId="28">'4522863918'!$A$2:$V$22</definedName>
    <definedName name="_xlnm.Print_Area" localSheetId="32">'4522863919'!$A$2:$V$22</definedName>
    <definedName name="_xlnm.Print_Area" localSheetId="35">'4522863920'!$A$2:$V$22</definedName>
    <definedName name="_xlnm.Print_Area" localSheetId="31">'4522863922'!$A$2:$V$22</definedName>
    <definedName name="_xlnm.Print_Area" localSheetId="30">'4522863924'!$A$2:$V$22</definedName>
    <definedName name="_xlnm.Print_Area" localSheetId="39">'4522865599'!$A$2:$V$22</definedName>
    <definedName name="_xlnm.Print_Area" localSheetId="40">'4522865612'!$A$2:$V$22</definedName>
    <definedName name="_xlnm.Print_Area" localSheetId="37">'4522865615'!$A$2:$V$22</definedName>
    <definedName name="_xlnm.Print_Area" localSheetId="38">'4522865627'!$A$2:$V$22</definedName>
    <definedName name="_xlnm.Print_Area" localSheetId="36">'4522865630'!$A$2:$V$22</definedName>
    <definedName name="_xlnm.Print_Area" localSheetId="1">PO!$A$2:$V$22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2" i="1577" l="1"/>
  <c r="R22" i="1577"/>
  <c r="O22" i="1577"/>
  <c r="N22" i="1577"/>
  <c r="F19" i="1577"/>
  <c r="U14" i="1577"/>
  <c r="S14" i="1577"/>
  <c r="R14" i="1577"/>
  <c r="U13" i="1577"/>
  <c r="S13" i="1577"/>
  <c r="R13" i="1577"/>
  <c r="Q13" i="1577"/>
  <c r="O13" i="1577"/>
  <c r="N13" i="1577"/>
  <c r="S12" i="1577"/>
  <c r="R12" i="1577"/>
  <c r="Q12" i="1577"/>
  <c r="O12" i="1577"/>
  <c r="N12" i="1577"/>
  <c r="R11" i="1577"/>
  <c r="O11" i="1577"/>
  <c r="N11" i="1577"/>
  <c r="G11" i="1577"/>
  <c r="R6" i="1577"/>
  <c r="N6" i="1577"/>
  <c r="N5" i="1577"/>
  <c r="R4" i="1577"/>
  <c r="N2" i="1577"/>
  <c r="S22" i="1576"/>
  <c r="R22" i="1576"/>
  <c r="O22" i="1576"/>
  <c r="N22" i="1576"/>
  <c r="F19" i="1576"/>
  <c r="U14" i="1576"/>
  <c r="S14" i="1576"/>
  <c r="R14" i="1576"/>
  <c r="U13" i="1576"/>
  <c r="S13" i="1576"/>
  <c r="R13" i="1576"/>
  <c r="Q13" i="1576"/>
  <c r="O13" i="1576"/>
  <c r="N13" i="1576"/>
  <c r="U12" i="1576"/>
  <c r="S12" i="1576"/>
  <c r="R12" i="1576"/>
  <c r="Q12" i="1576"/>
  <c r="O12" i="1576"/>
  <c r="N12" i="1576"/>
  <c r="R11" i="1576"/>
  <c r="O11" i="1576"/>
  <c r="N11" i="1576"/>
  <c r="G11" i="1576"/>
  <c r="R6" i="1576"/>
  <c r="N6" i="1576"/>
  <c r="N5" i="1576"/>
  <c r="R4" i="1576"/>
  <c r="N2" i="1576"/>
  <c r="S22" i="1575"/>
  <c r="R22" i="1575"/>
  <c r="O22" i="1575"/>
  <c r="N22" i="1575"/>
  <c r="F19" i="1575"/>
  <c r="U14" i="1575"/>
  <c r="S14" i="1575"/>
  <c r="R14" i="1575"/>
  <c r="U13" i="1575"/>
  <c r="S13" i="1575"/>
  <c r="R13" i="1575"/>
  <c r="Q13" i="1575"/>
  <c r="O13" i="1575"/>
  <c r="N13" i="1575"/>
  <c r="S12" i="1575"/>
  <c r="R12" i="1575"/>
  <c r="Q12" i="1575"/>
  <c r="O12" i="1575"/>
  <c r="N12" i="1575"/>
  <c r="R11" i="1575"/>
  <c r="O11" i="1575"/>
  <c r="N11" i="1575"/>
  <c r="G11" i="1575"/>
  <c r="R6" i="1575"/>
  <c r="N6" i="1575"/>
  <c r="N5" i="1575"/>
  <c r="R4" i="1575"/>
  <c r="N2" i="1575"/>
  <c r="S22" i="1574"/>
  <c r="R22" i="1574"/>
  <c r="O22" i="1574"/>
  <c r="N22" i="1574"/>
  <c r="F19" i="1574"/>
  <c r="U14" i="1574"/>
  <c r="S14" i="1574"/>
  <c r="R14" i="1574"/>
  <c r="U13" i="1574"/>
  <c r="S13" i="1574"/>
  <c r="R13" i="1574"/>
  <c r="Q13" i="1574"/>
  <c r="O13" i="1574"/>
  <c r="N13" i="1574"/>
  <c r="S12" i="1574"/>
  <c r="R12" i="1574"/>
  <c r="Q12" i="1574"/>
  <c r="O12" i="1574"/>
  <c r="N12" i="1574"/>
  <c r="R11" i="1574"/>
  <c r="O11" i="1574"/>
  <c r="N11" i="1574"/>
  <c r="G11" i="1574"/>
  <c r="R6" i="1574"/>
  <c r="N6" i="1574"/>
  <c r="N5" i="1574"/>
  <c r="R4" i="1574"/>
  <c r="N2" i="1574"/>
  <c r="S22" i="1573"/>
  <c r="R22" i="1573"/>
  <c r="O22" i="1573"/>
  <c r="N22" i="1573"/>
  <c r="F19" i="1573"/>
  <c r="U14" i="1573"/>
  <c r="S14" i="1573"/>
  <c r="R14" i="1573"/>
  <c r="U13" i="1573"/>
  <c r="S13" i="1573"/>
  <c r="R13" i="1573"/>
  <c r="Q13" i="1573"/>
  <c r="O13" i="1573"/>
  <c r="N13" i="1573"/>
  <c r="S12" i="1573"/>
  <c r="R12" i="1573"/>
  <c r="Q12" i="1573"/>
  <c r="O12" i="1573"/>
  <c r="N12" i="1573"/>
  <c r="R11" i="1573"/>
  <c r="O11" i="1573"/>
  <c r="N11" i="1573"/>
  <c r="G11" i="1573"/>
  <c r="R6" i="1573"/>
  <c r="N6" i="1573"/>
  <c r="N5" i="1573"/>
  <c r="R4" i="1573"/>
  <c r="N2" i="1573"/>
  <c r="S22" i="1572"/>
  <c r="R22" i="1572"/>
  <c r="O22" i="1572"/>
  <c r="N22" i="1572"/>
  <c r="F19" i="1572"/>
  <c r="U14" i="1572"/>
  <c r="S14" i="1572"/>
  <c r="R14" i="1572"/>
  <c r="U13" i="1572"/>
  <c r="S13" i="1572"/>
  <c r="R13" i="1572"/>
  <c r="Q13" i="1572"/>
  <c r="O13" i="1572"/>
  <c r="N13" i="1572"/>
  <c r="S12" i="1572"/>
  <c r="R12" i="1572"/>
  <c r="Q12" i="1572"/>
  <c r="O12" i="1572"/>
  <c r="N12" i="1572"/>
  <c r="R11" i="1572"/>
  <c r="O11" i="1572"/>
  <c r="N11" i="1572"/>
  <c r="G11" i="1572"/>
  <c r="R6" i="1572"/>
  <c r="N6" i="1572"/>
  <c r="N5" i="1572"/>
  <c r="R4" i="1572"/>
  <c r="N2" i="1572"/>
  <c r="S22" i="1571"/>
  <c r="R22" i="1571"/>
  <c r="O22" i="1571"/>
  <c r="N22" i="1571"/>
  <c r="F19" i="1571"/>
  <c r="U14" i="1571"/>
  <c r="S14" i="1571"/>
  <c r="R14" i="1571"/>
  <c r="U13" i="1571"/>
  <c r="S13" i="1571"/>
  <c r="R13" i="1571"/>
  <c r="Q13" i="1571"/>
  <c r="O13" i="1571"/>
  <c r="N13" i="1571"/>
  <c r="S12" i="1571"/>
  <c r="R12" i="1571"/>
  <c r="Q12" i="1571"/>
  <c r="O12" i="1571"/>
  <c r="N12" i="1571"/>
  <c r="R11" i="1571"/>
  <c r="O11" i="1571"/>
  <c r="N11" i="1571"/>
  <c r="G11" i="1571"/>
  <c r="R6" i="1571"/>
  <c r="N6" i="1571"/>
  <c r="N5" i="1571"/>
  <c r="R4" i="1571"/>
  <c r="N2" i="1571"/>
  <c r="S22" i="1570"/>
  <c r="R22" i="1570"/>
  <c r="O22" i="1570"/>
  <c r="N22" i="1570"/>
  <c r="F19" i="1570"/>
  <c r="U14" i="1570"/>
  <c r="S14" i="1570"/>
  <c r="R14" i="1570"/>
  <c r="U13" i="1570"/>
  <c r="S13" i="1570"/>
  <c r="R13" i="1570"/>
  <c r="Q13" i="1570"/>
  <c r="O13" i="1570"/>
  <c r="N13" i="1570"/>
  <c r="U12" i="1570"/>
  <c r="S12" i="1570"/>
  <c r="R12" i="1570"/>
  <c r="Q12" i="1570"/>
  <c r="O12" i="1570"/>
  <c r="N12" i="1570"/>
  <c r="R11" i="1570"/>
  <c r="O11" i="1570"/>
  <c r="N11" i="1570"/>
  <c r="G11" i="1570"/>
  <c r="R6" i="1570"/>
  <c r="N6" i="1570"/>
  <c r="N5" i="1570"/>
  <c r="R4" i="1570"/>
  <c r="N2" i="1570"/>
  <c r="S22" i="1569"/>
  <c r="R22" i="1569"/>
  <c r="O22" i="1569"/>
  <c r="N22" i="1569"/>
  <c r="F19" i="1569"/>
  <c r="U14" i="1569"/>
  <c r="S14" i="1569"/>
  <c r="R14" i="1569"/>
  <c r="U13" i="1569"/>
  <c r="S13" i="1569"/>
  <c r="R13" i="1569"/>
  <c r="Q13" i="1569"/>
  <c r="O13" i="1569"/>
  <c r="N13" i="1569"/>
  <c r="S12" i="1569"/>
  <c r="R12" i="1569"/>
  <c r="Q12" i="1569"/>
  <c r="O12" i="1569"/>
  <c r="N12" i="1569"/>
  <c r="R11" i="1569"/>
  <c r="O11" i="1569"/>
  <c r="N11" i="1569"/>
  <c r="G11" i="1569"/>
  <c r="R6" i="1569"/>
  <c r="N6" i="1569"/>
  <c r="N5" i="1569"/>
  <c r="R4" i="1569"/>
  <c r="N2" i="1569"/>
  <c r="S22" i="1568"/>
  <c r="R22" i="1568"/>
  <c r="O22" i="1568"/>
  <c r="N22" i="1568"/>
  <c r="F19" i="1568"/>
  <c r="U14" i="1568"/>
  <c r="S14" i="1568"/>
  <c r="R14" i="1568"/>
  <c r="U13" i="1568"/>
  <c r="S13" i="1568"/>
  <c r="R13" i="1568"/>
  <c r="Q13" i="1568"/>
  <c r="O13" i="1568"/>
  <c r="N13" i="1568"/>
  <c r="S12" i="1568"/>
  <c r="R12" i="1568"/>
  <c r="Q12" i="1568"/>
  <c r="O12" i="1568"/>
  <c r="N12" i="1568"/>
  <c r="R11" i="1568"/>
  <c r="O11" i="1568"/>
  <c r="N11" i="1568"/>
  <c r="G11" i="1568"/>
  <c r="R6" i="1568"/>
  <c r="N6" i="1568"/>
  <c r="N5" i="1568"/>
  <c r="R4" i="1568"/>
  <c r="N2" i="1568"/>
  <c r="S22" i="1567"/>
  <c r="R22" i="1567"/>
  <c r="O22" i="1567"/>
  <c r="N22" i="1567"/>
  <c r="F19" i="1567"/>
  <c r="U14" i="1567"/>
  <c r="S14" i="1567"/>
  <c r="R14" i="1567"/>
  <c r="U13" i="1567"/>
  <c r="S13" i="1567"/>
  <c r="R13" i="1567"/>
  <c r="Q13" i="1567"/>
  <c r="O13" i="1567"/>
  <c r="N13" i="1567"/>
  <c r="S12" i="1567"/>
  <c r="R12" i="1567"/>
  <c r="Q12" i="1567"/>
  <c r="O12" i="1567"/>
  <c r="N12" i="1567"/>
  <c r="R11" i="1567"/>
  <c r="O11" i="1567"/>
  <c r="N11" i="1567"/>
  <c r="G11" i="1567"/>
  <c r="R6" i="1567"/>
  <c r="N6" i="1567"/>
  <c r="N5" i="1567"/>
  <c r="R4" i="1567"/>
  <c r="N2" i="1567"/>
  <c r="S22" i="1566"/>
  <c r="R22" i="1566"/>
  <c r="O22" i="1566"/>
  <c r="N22" i="1566"/>
  <c r="F19" i="1566"/>
  <c r="U14" i="1566"/>
  <c r="S14" i="1566"/>
  <c r="R14" i="1566"/>
  <c r="U13" i="1566"/>
  <c r="S13" i="1566"/>
  <c r="R13" i="1566"/>
  <c r="Q13" i="1566"/>
  <c r="O13" i="1566"/>
  <c r="N13" i="1566"/>
  <c r="S12" i="1566"/>
  <c r="R12" i="1566"/>
  <c r="Q12" i="1566"/>
  <c r="O12" i="1566"/>
  <c r="N12" i="1566"/>
  <c r="R11" i="1566"/>
  <c r="O11" i="1566"/>
  <c r="N11" i="1566"/>
  <c r="G11" i="1566"/>
  <c r="R6" i="1566"/>
  <c r="N6" i="1566"/>
  <c r="N5" i="1566"/>
  <c r="R4" i="1566"/>
  <c r="N2" i="1566"/>
  <c r="S22" i="1565"/>
  <c r="R22" i="1565"/>
  <c r="O22" i="1565"/>
  <c r="N22" i="1565"/>
  <c r="F19" i="1565"/>
  <c r="U14" i="1565"/>
  <c r="S14" i="1565"/>
  <c r="R14" i="1565"/>
  <c r="U13" i="1565"/>
  <c r="S13" i="1565"/>
  <c r="R13" i="1565"/>
  <c r="Q13" i="1565"/>
  <c r="O13" i="1565"/>
  <c r="N13" i="1565"/>
  <c r="U12" i="1565"/>
  <c r="S12" i="1565"/>
  <c r="R12" i="1565"/>
  <c r="Q12" i="1565"/>
  <c r="O12" i="1565"/>
  <c r="N12" i="1565"/>
  <c r="R11" i="1565"/>
  <c r="O11" i="1565"/>
  <c r="N11" i="1565"/>
  <c r="G11" i="1565"/>
  <c r="R6" i="1565"/>
  <c r="N6" i="1565"/>
  <c r="N5" i="1565"/>
  <c r="R4" i="1565"/>
  <c r="N2" i="1565"/>
  <c r="S22" i="1564"/>
  <c r="R22" i="1564"/>
  <c r="O22" i="1564"/>
  <c r="N22" i="1564"/>
  <c r="F19" i="1564"/>
  <c r="U14" i="1564"/>
  <c r="S14" i="1564"/>
  <c r="R14" i="1564"/>
  <c r="U13" i="1564"/>
  <c r="S13" i="1564"/>
  <c r="R13" i="1564"/>
  <c r="Q13" i="1564"/>
  <c r="O13" i="1564"/>
  <c r="N13" i="1564"/>
  <c r="U12" i="1564"/>
  <c r="S12" i="1564"/>
  <c r="R12" i="1564"/>
  <c r="Q12" i="1564"/>
  <c r="O12" i="1564"/>
  <c r="N12" i="1564"/>
  <c r="R11" i="1564"/>
  <c r="O11" i="1564"/>
  <c r="N11" i="1564"/>
  <c r="G11" i="1564"/>
  <c r="R6" i="1564"/>
  <c r="N6" i="1564"/>
  <c r="N5" i="1564"/>
  <c r="R4" i="1564"/>
  <c r="N2" i="1564"/>
  <c r="S22" i="1563"/>
  <c r="R22" i="1563"/>
  <c r="O22" i="1563"/>
  <c r="N22" i="1563"/>
  <c r="F19" i="1563"/>
  <c r="U14" i="1563"/>
  <c r="S14" i="1563"/>
  <c r="R14" i="1563"/>
  <c r="U13" i="1563"/>
  <c r="S13" i="1563"/>
  <c r="R13" i="1563"/>
  <c r="Q13" i="1563"/>
  <c r="O13" i="1563"/>
  <c r="N13" i="1563"/>
  <c r="S12" i="1563"/>
  <c r="R12" i="1563"/>
  <c r="Q12" i="1563"/>
  <c r="O12" i="1563"/>
  <c r="N12" i="1563"/>
  <c r="R11" i="1563"/>
  <c r="O11" i="1563"/>
  <c r="N11" i="1563"/>
  <c r="G11" i="1563"/>
  <c r="R6" i="1563"/>
  <c r="N6" i="1563"/>
  <c r="N5" i="1563"/>
  <c r="R4" i="1563"/>
  <c r="N2" i="1563"/>
  <c r="S22" i="1562"/>
  <c r="R22" i="1562"/>
  <c r="O22" i="1562"/>
  <c r="N22" i="1562"/>
  <c r="F19" i="1562"/>
  <c r="U14" i="1562"/>
  <c r="S14" i="1562"/>
  <c r="R14" i="1562"/>
  <c r="U13" i="1562"/>
  <c r="S13" i="1562"/>
  <c r="R13" i="1562"/>
  <c r="Q13" i="1562"/>
  <c r="O13" i="1562"/>
  <c r="N13" i="1562"/>
  <c r="S12" i="1562"/>
  <c r="R12" i="1562"/>
  <c r="Q12" i="1562"/>
  <c r="O12" i="1562"/>
  <c r="N12" i="1562"/>
  <c r="R11" i="1562"/>
  <c r="O11" i="1562"/>
  <c r="N11" i="1562"/>
  <c r="G11" i="1562"/>
  <c r="R6" i="1562"/>
  <c r="N6" i="1562"/>
  <c r="N5" i="1562"/>
  <c r="R4" i="1562"/>
  <c r="N2" i="1562"/>
  <c r="S22" i="1561"/>
  <c r="R22" i="1561"/>
  <c r="O22" i="1561"/>
  <c r="N22" i="1561"/>
  <c r="F19" i="1561"/>
  <c r="U14" i="1561"/>
  <c r="S14" i="1561"/>
  <c r="R14" i="1561"/>
  <c r="U13" i="1561"/>
  <c r="S13" i="1561"/>
  <c r="R13" i="1561"/>
  <c r="Q13" i="1561"/>
  <c r="O13" i="1561"/>
  <c r="N13" i="1561"/>
  <c r="U12" i="1561"/>
  <c r="S12" i="1561"/>
  <c r="R12" i="1561"/>
  <c r="Q12" i="1561"/>
  <c r="O12" i="1561"/>
  <c r="N12" i="1561"/>
  <c r="R11" i="1561"/>
  <c r="O11" i="1561"/>
  <c r="N11" i="1561"/>
  <c r="G11" i="1561"/>
  <c r="R6" i="1561"/>
  <c r="N6" i="1561"/>
  <c r="N5" i="1561"/>
  <c r="R4" i="1561"/>
  <c r="N2" i="1561"/>
  <c r="S22" i="1560"/>
  <c r="R22" i="1560"/>
  <c r="O22" i="1560"/>
  <c r="N22" i="1560"/>
  <c r="F19" i="1560"/>
  <c r="U14" i="1560"/>
  <c r="S14" i="1560"/>
  <c r="R14" i="1560"/>
  <c r="U13" i="1560"/>
  <c r="S13" i="1560"/>
  <c r="R13" i="1560"/>
  <c r="Q13" i="1560"/>
  <c r="O13" i="1560"/>
  <c r="N13" i="1560"/>
  <c r="S12" i="1560"/>
  <c r="R12" i="1560"/>
  <c r="Q12" i="1560"/>
  <c r="O12" i="1560"/>
  <c r="N12" i="1560"/>
  <c r="R11" i="1560"/>
  <c r="O11" i="1560"/>
  <c r="N11" i="1560"/>
  <c r="G11" i="1560"/>
  <c r="R6" i="1560"/>
  <c r="N6" i="1560"/>
  <c r="N5" i="1560"/>
  <c r="R4" i="1560"/>
  <c r="N2" i="1560"/>
  <c r="S22" i="1559"/>
  <c r="R22" i="1559"/>
  <c r="O22" i="1559"/>
  <c r="N22" i="1559"/>
  <c r="F19" i="1559"/>
  <c r="U14" i="1559"/>
  <c r="S14" i="1559"/>
  <c r="R14" i="1559"/>
  <c r="U13" i="1559"/>
  <c r="S13" i="1559"/>
  <c r="R13" i="1559"/>
  <c r="Q13" i="1559"/>
  <c r="O13" i="1559"/>
  <c r="N13" i="1559"/>
  <c r="S12" i="1559"/>
  <c r="R12" i="1559"/>
  <c r="Q12" i="1559"/>
  <c r="O12" i="1559"/>
  <c r="N12" i="1559"/>
  <c r="R11" i="1559"/>
  <c r="O11" i="1559"/>
  <c r="N11" i="1559"/>
  <c r="G11" i="1559"/>
  <c r="R6" i="1559"/>
  <c r="N6" i="1559"/>
  <c r="N5" i="1559"/>
  <c r="R4" i="1559"/>
  <c r="N2" i="1559"/>
  <c r="S22" i="1558"/>
  <c r="R22" i="1558"/>
  <c r="O22" i="1558"/>
  <c r="N22" i="1558"/>
  <c r="F19" i="1558"/>
  <c r="U14" i="1558"/>
  <c r="S14" i="1558"/>
  <c r="R14" i="1558"/>
  <c r="U13" i="1558"/>
  <c r="S13" i="1558"/>
  <c r="R13" i="1558"/>
  <c r="Q13" i="1558"/>
  <c r="O13" i="1558"/>
  <c r="N13" i="1558"/>
  <c r="S12" i="1558"/>
  <c r="R12" i="1558"/>
  <c r="Q12" i="1558"/>
  <c r="O12" i="1558"/>
  <c r="N12" i="1558"/>
  <c r="R11" i="1558"/>
  <c r="O11" i="1558"/>
  <c r="N11" i="1558"/>
  <c r="G11" i="1558"/>
  <c r="R6" i="1558"/>
  <c r="N6" i="1558"/>
  <c r="N5" i="1558"/>
  <c r="R4" i="1558"/>
  <c r="N2" i="1558"/>
  <c r="S22" i="1557"/>
  <c r="R22" i="1557"/>
  <c r="O22" i="1557"/>
  <c r="N22" i="1557"/>
  <c r="F19" i="1557"/>
  <c r="U14" i="1557"/>
  <c r="S14" i="1557"/>
  <c r="R14" i="1557"/>
  <c r="U13" i="1557"/>
  <c r="S13" i="1557"/>
  <c r="R13" i="1557"/>
  <c r="Q13" i="1557"/>
  <c r="O13" i="1557"/>
  <c r="N13" i="1557"/>
  <c r="S12" i="1557"/>
  <c r="R12" i="1557"/>
  <c r="Q12" i="1557"/>
  <c r="O12" i="1557"/>
  <c r="N12" i="1557"/>
  <c r="R11" i="1557"/>
  <c r="O11" i="1557"/>
  <c r="N11" i="1557"/>
  <c r="G11" i="1557"/>
  <c r="R6" i="1557"/>
  <c r="N6" i="1557"/>
  <c r="N5" i="1557"/>
  <c r="R4" i="1557"/>
  <c r="N2" i="1557"/>
  <c r="S22" i="1556"/>
  <c r="R22" i="1556"/>
  <c r="O22" i="1556"/>
  <c r="N22" i="1556"/>
  <c r="F19" i="1556"/>
  <c r="U14" i="1556"/>
  <c r="S14" i="1556"/>
  <c r="R14" i="1556"/>
  <c r="U13" i="1556"/>
  <c r="S13" i="1556"/>
  <c r="R13" i="1556"/>
  <c r="Q13" i="1556"/>
  <c r="O13" i="1556"/>
  <c r="N13" i="1556"/>
  <c r="S12" i="1556"/>
  <c r="R12" i="1556"/>
  <c r="Q12" i="1556"/>
  <c r="O12" i="1556"/>
  <c r="N12" i="1556"/>
  <c r="R11" i="1556"/>
  <c r="O11" i="1556"/>
  <c r="N11" i="1556"/>
  <c r="G11" i="1556"/>
  <c r="R6" i="1556"/>
  <c r="N6" i="1556"/>
  <c r="N5" i="1556"/>
  <c r="R4" i="1556"/>
  <c r="N2" i="1556"/>
  <c r="S22" i="1555"/>
  <c r="R22" i="1555"/>
  <c r="O22" i="1555"/>
  <c r="N22" i="1555"/>
  <c r="F19" i="1555"/>
  <c r="U14" i="1555"/>
  <c r="S14" i="1555"/>
  <c r="R14" i="1555"/>
  <c r="U13" i="1555"/>
  <c r="S13" i="1555"/>
  <c r="R13" i="1555"/>
  <c r="Q13" i="1555"/>
  <c r="O13" i="1555"/>
  <c r="N13" i="1555"/>
  <c r="S12" i="1555"/>
  <c r="R12" i="1555"/>
  <c r="Q12" i="1555"/>
  <c r="O12" i="1555"/>
  <c r="N12" i="1555"/>
  <c r="R11" i="1555"/>
  <c r="O11" i="1555"/>
  <c r="N11" i="1555"/>
  <c r="G11" i="1555"/>
  <c r="R6" i="1555"/>
  <c r="N6" i="1555"/>
  <c r="N5" i="1555"/>
  <c r="R4" i="1555"/>
  <c r="N2" i="1555"/>
  <c r="S22" i="1554"/>
  <c r="R22" i="1554"/>
  <c r="O22" i="1554"/>
  <c r="N22" i="1554"/>
  <c r="F19" i="1554"/>
  <c r="U14" i="1554"/>
  <c r="S14" i="1554"/>
  <c r="R14" i="1554"/>
  <c r="U13" i="1554"/>
  <c r="S13" i="1554"/>
  <c r="R13" i="1554"/>
  <c r="Q13" i="1554"/>
  <c r="O13" i="1554"/>
  <c r="N13" i="1554"/>
  <c r="S12" i="1554"/>
  <c r="R12" i="1554"/>
  <c r="Q12" i="1554"/>
  <c r="O12" i="1554"/>
  <c r="N12" i="1554"/>
  <c r="R11" i="1554"/>
  <c r="O11" i="1554"/>
  <c r="N11" i="1554"/>
  <c r="G11" i="1554"/>
  <c r="R6" i="1554"/>
  <c r="N6" i="1554"/>
  <c r="N5" i="1554"/>
  <c r="R4" i="1554"/>
  <c r="N2" i="1554"/>
  <c r="S22" i="1553"/>
  <c r="R22" i="1553"/>
  <c r="O22" i="1553"/>
  <c r="N22" i="1553"/>
  <c r="F19" i="1553"/>
  <c r="U14" i="1553"/>
  <c r="S14" i="1553"/>
  <c r="R14" i="1553"/>
  <c r="U13" i="1553"/>
  <c r="S13" i="1553"/>
  <c r="R13" i="1553"/>
  <c r="Q13" i="1553"/>
  <c r="O13" i="1553"/>
  <c r="N13" i="1553"/>
  <c r="S12" i="1553"/>
  <c r="R12" i="1553"/>
  <c r="Q12" i="1553"/>
  <c r="O12" i="1553"/>
  <c r="N12" i="1553"/>
  <c r="R11" i="1553"/>
  <c r="O11" i="1553"/>
  <c r="N11" i="1553"/>
  <c r="G11" i="1553"/>
  <c r="R6" i="1553"/>
  <c r="N6" i="1553"/>
  <c r="N5" i="1553"/>
  <c r="R4" i="1553"/>
  <c r="N2" i="1553"/>
  <c r="S22" i="1552"/>
  <c r="R22" i="1552"/>
  <c r="O22" i="1552"/>
  <c r="N22" i="1552"/>
  <c r="F19" i="1552"/>
  <c r="U14" i="1552"/>
  <c r="S14" i="1552"/>
  <c r="R14" i="1552"/>
  <c r="U13" i="1552"/>
  <c r="S13" i="1552"/>
  <c r="R13" i="1552"/>
  <c r="Q13" i="1552"/>
  <c r="O13" i="1552"/>
  <c r="N13" i="1552"/>
  <c r="S12" i="1552"/>
  <c r="R12" i="1552"/>
  <c r="Q12" i="1552"/>
  <c r="O12" i="1552"/>
  <c r="N12" i="1552"/>
  <c r="R11" i="1552"/>
  <c r="O11" i="1552"/>
  <c r="N11" i="1552"/>
  <c r="G11" i="1552"/>
  <c r="R6" i="1552"/>
  <c r="N6" i="1552"/>
  <c r="N5" i="1552"/>
  <c r="R4" i="1552"/>
  <c r="N2" i="1552"/>
  <c r="S22" i="1551"/>
  <c r="R22" i="1551"/>
  <c r="O22" i="1551"/>
  <c r="N22" i="1551"/>
  <c r="F19" i="1551"/>
  <c r="U14" i="1551"/>
  <c r="S14" i="1551"/>
  <c r="R14" i="1551"/>
  <c r="U13" i="1551"/>
  <c r="S13" i="1551"/>
  <c r="R13" i="1551"/>
  <c r="Q13" i="1551"/>
  <c r="O13" i="1551"/>
  <c r="N13" i="1551"/>
  <c r="S12" i="1551"/>
  <c r="R12" i="1551"/>
  <c r="Q12" i="1551"/>
  <c r="O12" i="1551"/>
  <c r="N12" i="1551"/>
  <c r="R11" i="1551"/>
  <c r="O11" i="1551"/>
  <c r="N11" i="1551"/>
  <c r="G11" i="1551"/>
  <c r="R6" i="1551"/>
  <c r="N6" i="1551"/>
  <c r="N5" i="1551"/>
  <c r="R4" i="1551"/>
  <c r="N2" i="1551"/>
  <c r="S22" i="1550"/>
  <c r="R22" i="1550"/>
  <c r="O22" i="1550"/>
  <c r="N22" i="1550"/>
  <c r="F19" i="1550"/>
  <c r="U14" i="1550"/>
  <c r="S14" i="1550"/>
  <c r="R14" i="1550"/>
  <c r="U13" i="1550"/>
  <c r="S13" i="1550"/>
  <c r="R13" i="1550"/>
  <c r="Q13" i="1550"/>
  <c r="O13" i="1550"/>
  <c r="N13" i="1550"/>
  <c r="S12" i="1550"/>
  <c r="R12" i="1550"/>
  <c r="Q12" i="1550"/>
  <c r="O12" i="1550"/>
  <c r="N12" i="1550"/>
  <c r="R11" i="1550"/>
  <c r="O11" i="1550"/>
  <c r="N11" i="1550"/>
  <c r="G11" i="1550"/>
  <c r="R6" i="1550"/>
  <c r="N6" i="1550"/>
  <c r="N5" i="1550"/>
  <c r="R4" i="1550"/>
  <c r="N2" i="1550"/>
  <c r="S22" i="1549"/>
  <c r="R22" i="1549"/>
  <c r="O22" i="1549"/>
  <c r="N22" i="1549"/>
  <c r="F19" i="1549"/>
  <c r="U14" i="1549"/>
  <c r="S14" i="1549"/>
  <c r="R14" i="1549"/>
  <c r="U13" i="1549"/>
  <c r="S13" i="1549"/>
  <c r="R13" i="1549"/>
  <c r="Q13" i="1549"/>
  <c r="O13" i="1549"/>
  <c r="N13" i="1549"/>
  <c r="S12" i="1549"/>
  <c r="R12" i="1549"/>
  <c r="Q12" i="1549"/>
  <c r="O12" i="1549"/>
  <c r="N12" i="1549"/>
  <c r="R11" i="1549"/>
  <c r="O11" i="1549"/>
  <c r="N11" i="1549"/>
  <c r="G11" i="1549"/>
  <c r="R6" i="1549"/>
  <c r="N6" i="1549"/>
  <c r="N5" i="1549"/>
  <c r="R4" i="1549"/>
  <c r="N2" i="1549"/>
  <c r="S22" i="1548"/>
  <c r="R22" i="1548"/>
  <c r="O22" i="1548"/>
  <c r="N22" i="1548"/>
  <c r="F19" i="1548"/>
  <c r="U14" i="1548"/>
  <c r="S14" i="1548"/>
  <c r="R14" i="1548"/>
  <c r="U13" i="1548"/>
  <c r="S13" i="1548"/>
  <c r="R13" i="1548"/>
  <c r="Q13" i="1548"/>
  <c r="O13" i="1548"/>
  <c r="N13" i="1548"/>
  <c r="S12" i="1548"/>
  <c r="R12" i="1548"/>
  <c r="Q12" i="1548"/>
  <c r="O12" i="1548"/>
  <c r="N12" i="1548"/>
  <c r="R11" i="1548"/>
  <c r="O11" i="1548"/>
  <c r="N11" i="1548"/>
  <c r="G11" i="1548"/>
  <c r="R6" i="1548"/>
  <c r="N6" i="1548"/>
  <c r="N5" i="1548"/>
  <c r="R4" i="1548"/>
  <c r="N2" i="1548"/>
  <c r="S22" i="1547"/>
  <c r="R22" i="1547"/>
  <c r="O22" i="1547"/>
  <c r="N22" i="1547"/>
  <c r="F19" i="1547"/>
  <c r="U14" i="1547"/>
  <c r="S14" i="1547"/>
  <c r="R14" i="1547"/>
  <c r="U13" i="1547"/>
  <c r="S13" i="1547"/>
  <c r="R13" i="1547"/>
  <c r="Q13" i="1547"/>
  <c r="O13" i="1547"/>
  <c r="N13" i="1547"/>
  <c r="S12" i="1547"/>
  <c r="R12" i="1547"/>
  <c r="Q12" i="1547"/>
  <c r="O12" i="1547"/>
  <c r="N12" i="1547"/>
  <c r="R11" i="1547"/>
  <c r="O11" i="1547"/>
  <c r="N11" i="1547"/>
  <c r="G11" i="1547"/>
  <c r="R6" i="1547"/>
  <c r="N6" i="1547"/>
  <c r="N5" i="1547"/>
  <c r="R4" i="1547"/>
  <c r="N2" i="1547"/>
  <c r="S22" i="1546"/>
  <c r="R22" i="1546"/>
  <c r="O22" i="1546"/>
  <c r="N22" i="1546"/>
  <c r="F19" i="1546"/>
  <c r="U14" i="1546"/>
  <c r="S14" i="1546"/>
  <c r="R14" i="1546"/>
  <c r="U13" i="1546"/>
  <c r="S13" i="1546"/>
  <c r="R13" i="1546"/>
  <c r="Q13" i="1546"/>
  <c r="O13" i="1546"/>
  <c r="N13" i="1546"/>
  <c r="S12" i="1546"/>
  <c r="R12" i="1546"/>
  <c r="Q12" i="1546"/>
  <c r="O12" i="1546"/>
  <c r="N12" i="1546"/>
  <c r="R11" i="1546"/>
  <c r="O11" i="1546"/>
  <c r="N11" i="1546"/>
  <c r="G11" i="1546"/>
  <c r="R6" i="1546"/>
  <c r="N6" i="1546"/>
  <c r="N5" i="1546"/>
  <c r="R4" i="1546"/>
  <c r="N2" i="1546"/>
  <c r="S22" i="1545"/>
  <c r="R22" i="1545"/>
  <c r="O22" i="1545"/>
  <c r="N22" i="1545"/>
  <c r="F19" i="1545"/>
  <c r="U14" i="1545"/>
  <c r="S14" i="1545"/>
  <c r="R14" i="1545"/>
  <c r="U13" i="1545"/>
  <c r="S13" i="1545"/>
  <c r="R13" i="1545"/>
  <c r="Q13" i="1545"/>
  <c r="O13" i="1545"/>
  <c r="N13" i="1545"/>
  <c r="S12" i="1545"/>
  <c r="R12" i="1545"/>
  <c r="Q12" i="1545"/>
  <c r="O12" i="1545"/>
  <c r="N12" i="1545"/>
  <c r="R11" i="1545"/>
  <c r="O11" i="1545"/>
  <c r="N11" i="1545"/>
  <c r="G11" i="1545"/>
  <c r="R6" i="1545"/>
  <c r="N6" i="1545"/>
  <c r="N5" i="1545"/>
  <c r="R4" i="1545"/>
  <c r="N2" i="1545"/>
  <c r="S22" i="1544"/>
  <c r="R22" i="1544"/>
  <c r="O22" i="1544"/>
  <c r="N22" i="1544"/>
  <c r="F19" i="1544"/>
  <c r="U14" i="1544"/>
  <c r="S14" i="1544"/>
  <c r="R14" i="1544"/>
  <c r="U13" i="1544"/>
  <c r="S13" i="1544"/>
  <c r="R13" i="1544"/>
  <c r="Q13" i="1544"/>
  <c r="O13" i="1544"/>
  <c r="N13" i="1544"/>
  <c r="S12" i="1544"/>
  <c r="R12" i="1544"/>
  <c r="Q12" i="1544"/>
  <c r="O12" i="1544"/>
  <c r="N12" i="1544"/>
  <c r="R11" i="1544"/>
  <c r="O11" i="1544"/>
  <c r="N11" i="1544"/>
  <c r="G11" i="1544"/>
  <c r="R6" i="1544"/>
  <c r="N6" i="1544"/>
  <c r="N5" i="1544"/>
  <c r="R4" i="1544"/>
  <c r="N2" i="1544"/>
  <c r="S22" i="1543"/>
  <c r="R22" i="1543"/>
  <c r="O22" i="1543"/>
  <c r="N22" i="1543"/>
  <c r="F19" i="1543"/>
  <c r="U14" i="1543"/>
  <c r="S14" i="1543"/>
  <c r="R14" i="1543"/>
  <c r="U13" i="1543"/>
  <c r="S13" i="1543"/>
  <c r="R13" i="1543"/>
  <c r="Q13" i="1543"/>
  <c r="O13" i="1543"/>
  <c r="N13" i="1543"/>
  <c r="S12" i="1543"/>
  <c r="R12" i="1543"/>
  <c r="Q12" i="1543"/>
  <c r="O12" i="1543"/>
  <c r="N12" i="1543"/>
  <c r="R11" i="1543"/>
  <c r="O11" i="1543"/>
  <c r="N11" i="1543"/>
  <c r="G11" i="1543"/>
  <c r="R6" i="1543"/>
  <c r="N6" i="1543"/>
  <c r="N5" i="1543"/>
  <c r="R4" i="1543"/>
  <c r="N2" i="1543"/>
  <c r="S22" i="1542"/>
  <c r="R22" i="1542"/>
  <c r="O22" i="1542"/>
  <c r="N22" i="1542"/>
  <c r="F19" i="1542"/>
  <c r="U14" i="1542"/>
  <c r="S14" i="1542"/>
  <c r="R14" i="1542"/>
  <c r="U13" i="1542"/>
  <c r="S13" i="1542"/>
  <c r="R13" i="1542"/>
  <c r="Q13" i="1542"/>
  <c r="O13" i="1542"/>
  <c r="N13" i="1542"/>
  <c r="S12" i="1542"/>
  <c r="R12" i="1542"/>
  <c r="Q12" i="1542"/>
  <c r="O12" i="1542"/>
  <c r="N12" i="1542"/>
  <c r="R11" i="1542"/>
  <c r="O11" i="1542"/>
  <c r="N11" i="1542"/>
  <c r="G11" i="1542"/>
  <c r="R6" i="1542"/>
  <c r="N6" i="1542"/>
  <c r="N5" i="1542"/>
  <c r="R4" i="1542"/>
  <c r="N2" i="1542"/>
  <c r="S22" i="1541"/>
  <c r="R22" i="1541"/>
  <c r="O22" i="1541"/>
  <c r="N22" i="1541"/>
  <c r="F19" i="1541"/>
  <c r="U14" i="1541"/>
  <c r="S14" i="1541"/>
  <c r="R14" i="1541"/>
  <c r="U13" i="1541"/>
  <c r="S13" i="1541"/>
  <c r="R13" i="1541"/>
  <c r="Q13" i="1541"/>
  <c r="O13" i="1541"/>
  <c r="N13" i="1541"/>
  <c r="U12" i="1541"/>
  <c r="S12" i="1541"/>
  <c r="R12" i="1541"/>
  <c r="Q12" i="1541"/>
  <c r="O12" i="1541"/>
  <c r="N12" i="1541"/>
  <c r="R11" i="1541"/>
  <c r="O11" i="1541"/>
  <c r="N11" i="1541"/>
  <c r="G11" i="1541"/>
  <c r="R6" i="1541"/>
  <c r="N6" i="1541"/>
  <c r="N5" i="1541"/>
  <c r="R4" i="1541"/>
  <c r="N2" i="1541"/>
  <c r="S22" i="1540"/>
  <c r="R22" i="1540"/>
  <c r="O22" i="1540"/>
  <c r="N22" i="1540"/>
  <c r="F19" i="1540"/>
  <c r="U14" i="1540"/>
  <c r="S14" i="1540"/>
  <c r="R14" i="1540"/>
  <c r="U13" i="1540"/>
  <c r="S13" i="1540"/>
  <c r="R13" i="1540"/>
  <c r="Q13" i="1540"/>
  <c r="O13" i="1540"/>
  <c r="N13" i="1540"/>
  <c r="S12" i="1540"/>
  <c r="R12" i="1540"/>
  <c r="Q12" i="1540"/>
  <c r="O12" i="1540"/>
  <c r="N12" i="1540"/>
  <c r="R11" i="1540"/>
  <c r="O11" i="1540"/>
  <c r="N11" i="1540"/>
  <c r="G11" i="1540"/>
  <c r="R6" i="1540"/>
  <c r="N6" i="1540"/>
  <c r="N5" i="1540"/>
  <c r="R4" i="1540"/>
  <c r="N2" i="1540"/>
  <c r="S22" i="1539"/>
  <c r="R22" i="1539"/>
  <c r="O22" i="1539"/>
  <c r="N22" i="1539"/>
  <c r="F19" i="1539"/>
  <c r="U14" i="1539"/>
  <c r="S14" i="1539"/>
  <c r="R14" i="1539"/>
  <c r="U13" i="1539"/>
  <c r="S13" i="1539"/>
  <c r="R13" i="1539"/>
  <c r="Q13" i="1539"/>
  <c r="O13" i="1539"/>
  <c r="N13" i="1539"/>
  <c r="S12" i="1539"/>
  <c r="R12" i="1539"/>
  <c r="Q12" i="1539"/>
  <c r="O12" i="1539"/>
  <c r="N12" i="1539"/>
  <c r="R11" i="1539"/>
  <c r="O11" i="1539"/>
  <c r="N11" i="1539"/>
  <c r="G11" i="1539"/>
  <c r="R6" i="1539"/>
  <c r="N6" i="1539"/>
  <c r="N5" i="1539"/>
  <c r="R4" i="1539"/>
  <c r="N2" i="1539"/>
  <c r="AE82" i="1506"/>
  <c r="AA81" i="1506"/>
  <c r="AE81" i="1506" s="1"/>
  <c r="AA82" i="1506"/>
  <c r="AC82" i="1506"/>
  <c r="AB82" i="1506"/>
  <c r="AD82" i="1506"/>
  <c r="AD83" i="1506"/>
  <c r="AD84" i="1506"/>
  <c r="AD85" i="1506"/>
  <c r="AD86" i="1506"/>
  <c r="AA80" i="1506"/>
  <c r="AE80" i="1506" s="1"/>
  <c r="G19" i="1577" l="1"/>
  <c r="S11" i="1577"/>
  <c r="R19" i="1577"/>
  <c r="U12" i="1577"/>
  <c r="I11" i="1577"/>
  <c r="I11" i="1576"/>
  <c r="G19" i="1576"/>
  <c r="R19" i="1576"/>
  <c r="S11" i="1576"/>
  <c r="R19" i="1575"/>
  <c r="G19" i="1575"/>
  <c r="U12" i="1575"/>
  <c r="S11" i="1575"/>
  <c r="I11" i="1575"/>
  <c r="R19" i="1574"/>
  <c r="G19" i="1574"/>
  <c r="S11" i="1574"/>
  <c r="U12" i="1574"/>
  <c r="I11" i="1574"/>
  <c r="G19" i="1573"/>
  <c r="U12" i="1573"/>
  <c r="I11" i="1573"/>
  <c r="R19" i="1573"/>
  <c r="S11" i="1573"/>
  <c r="R19" i="1572"/>
  <c r="U12" i="1572"/>
  <c r="S11" i="1572"/>
  <c r="G19" i="1572"/>
  <c r="I11" i="1572"/>
  <c r="R19" i="1571"/>
  <c r="S11" i="1571"/>
  <c r="I11" i="1571"/>
  <c r="G19" i="1571"/>
  <c r="U12" i="1571"/>
  <c r="R19" i="1570"/>
  <c r="S11" i="1570"/>
  <c r="I11" i="1570"/>
  <c r="G19" i="1570"/>
  <c r="R19" i="1569"/>
  <c r="G19" i="1569"/>
  <c r="S11" i="1569"/>
  <c r="I11" i="1569"/>
  <c r="U12" i="1569"/>
  <c r="R19" i="1568"/>
  <c r="G19" i="1568"/>
  <c r="U12" i="1568"/>
  <c r="S11" i="1568"/>
  <c r="I11" i="1568"/>
  <c r="R19" i="1567"/>
  <c r="G19" i="1567"/>
  <c r="U12" i="1567"/>
  <c r="S11" i="1567"/>
  <c r="I11" i="1567"/>
  <c r="R19" i="1566"/>
  <c r="G19" i="1566"/>
  <c r="U12" i="1566"/>
  <c r="S11" i="1566"/>
  <c r="I11" i="1566"/>
  <c r="R19" i="1565"/>
  <c r="I11" i="1565"/>
  <c r="G19" i="1565"/>
  <c r="S11" i="1565"/>
  <c r="R19" i="1564"/>
  <c r="G19" i="1564"/>
  <c r="I11" i="1564"/>
  <c r="S11" i="1564"/>
  <c r="R19" i="1563"/>
  <c r="G19" i="1563"/>
  <c r="S11" i="1563"/>
  <c r="I11" i="1563"/>
  <c r="U12" i="1563"/>
  <c r="R19" i="1562"/>
  <c r="G19" i="1562"/>
  <c r="U12" i="1562"/>
  <c r="S11" i="1562"/>
  <c r="I11" i="1562"/>
  <c r="R19" i="1561"/>
  <c r="S11" i="1561"/>
  <c r="I11" i="1561"/>
  <c r="G19" i="1561"/>
  <c r="R19" i="1560"/>
  <c r="G19" i="1560"/>
  <c r="U12" i="1560"/>
  <c r="S11" i="1560"/>
  <c r="I11" i="1560"/>
  <c r="R19" i="1559"/>
  <c r="S11" i="1559"/>
  <c r="I11" i="1559"/>
  <c r="U12" i="1559"/>
  <c r="G19" i="1559"/>
  <c r="G19" i="1558"/>
  <c r="I11" i="1558"/>
  <c r="R19" i="1558"/>
  <c r="U12" i="1558"/>
  <c r="S11" i="1558"/>
  <c r="R19" i="1557"/>
  <c r="U12" i="1557"/>
  <c r="S11" i="1557"/>
  <c r="I11" i="1557"/>
  <c r="G19" i="1557"/>
  <c r="S11" i="1556"/>
  <c r="I11" i="1556"/>
  <c r="G19" i="1556"/>
  <c r="U12" i="1556"/>
  <c r="R19" i="1556"/>
  <c r="G19" i="1555"/>
  <c r="R19" i="1555"/>
  <c r="U12" i="1555"/>
  <c r="S11" i="1555"/>
  <c r="I11" i="1555"/>
  <c r="G19" i="1554"/>
  <c r="S11" i="1554"/>
  <c r="I11" i="1554"/>
  <c r="R19" i="1554"/>
  <c r="U12" i="1554"/>
  <c r="I11" i="1553"/>
  <c r="R19" i="1553"/>
  <c r="U12" i="1553"/>
  <c r="S11" i="1553"/>
  <c r="G19" i="1553"/>
  <c r="R19" i="1552"/>
  <c r="G19" i="1552"/>
  <c r="U12" i="1552"/>
  <c r="S11" i="1552"/>
  <c r="I11" i="1552"/>
  <c r="U12" i="1551"/>
  <c r="R19" i="1551"/>
  <c r="G19" i="1551"/>
  <c r="S11" i="1551"/>
  <c r="I11" i="1551"/>
  <c r="R19" i="1550"/>
  <c r="S11" i="1550"/>
  <c r="I11" i="1550"/>
  <c r="G19" i="1550"/>
  <c r="U12" i="1550"/>
  <c r="R19" i="1549"/>
  <c r="G19" i="1549"/>
  <c r="U12" i="1549"/>
  <c r="S11" i="1549"/>
  <c r="I11" i="1549"/>
  <c r="R19" i="1548"/>
  <c r="G19" i="1548"/>
  <c r="U12" i="1548"/>
  <c r="S11" i="1548"/>
  <c r="I11" i="1548"/>
  <c r="R19" i="1547"/>
  <c r="U12" i="1547"/>
  <c r="S11" i="1547"/>
  <c r="G19" i="1547"/>
  <c r="I11" i="1547"/>
  <c r="R19" i="1546"/>
  <c r="I11" i="1546"/>
  <c r="U12" i="1546"/>
  <c r="G19" i="1546"/>
  <c r="S11" i="1546"/>
  <c r="R19" i="1545"/>
  <c r="U12" i="1545"/>
  <c r="S11" i="1545"/>
  <c r="G19" i="1545"/>
  <c r="I11" i="1545"/>
  <c r="R19" i="1544"/>
  <c r="U12" i="1544"/>
  <c r="G19" i="1544"/>
  <c r="I11" i="1544"/>
  <c r="S11" i="1544"/>
  <c r="R19" i="1543"/>
  <c r="U12" i="1543"/>
  <c r="S11" i="1543"/>
  <c r="I11" i="1543"/>
  <c r="G19" i="1543"/>
  <c r="R19" i="1542"/>
  <c r="U12" i="1542"/>
  <c r="S11" i="1542"/>
  <c r="G19" i="1542"/>
  <c r="I11" i="1542"/>
  <c r="R19" i="1541"/>
  <c r="G19" i="1541"/>
  <c r="S11" i="1541"/>
  <c r="I11" i="1541"/>
  <c r="R19" i="1540"/>
  <c r="S11" i="1540"/>
  <c r="I11" i="1540"/>
  <c r="G19" i="1540"/>
  <c r="U12" i="1540"/>
  <c r="R19" i="1539"/>
  <c r="G19" i="1539"/>
  <c r="U12" i="1539"/>
  <c r="S11" i="1539"/>
  <c r="I11" i="1539"/>
  <c r="AB81" i="1506"/>
  <c r="AD81" i="1506"/>
  <c r="AC81" i="1506"/>
  <c r="AC80" i="1506"/>
  <c r="AB80" i="1506"/>
  <c r="AD80" i="1506"/>
  <c r="AA79" i="1506"/>
  <c r="AB79" i="1506" s="1"/>
  <c r="AA15" i="1506"/>
  <c r="AE15" i="1506" s="1"/>
  <c r="AA16" i="1506"/>
  <c r="AB16" i="1506" s="1"/>
  <c r="AA17" i="1506"/>
  <c r="AE17" i="1506" s="1"/>
  <c r="AA55" i="1506"/>
  <c r="AE55" i="1506" s="1"/>
  <c r="AA54" i="1506"/>
  <c r="AE54" i="1506" s="1"/>
  <c r="AA53" i="1506"/>
  <c r="AB53" i="1506" s="1"/>
  <c r="AA52" i="1506"/>
  <c r="AD52" i="1506" s="1"/>
  <c r="AA51" i="1506"/>
  <c r="AE51" i="1506" s="1"/>
  <c r="AA50" i="1506"/>
  <c r="AE50" i="1506" s="1"/>
  <c r="AA49" i="1506"/>
  <c r="AB49" i="1506" s="1"/>
  <c r="AA48" i="1506"/>
  <c r="AD48" i="1506" s="1"/>
  <c r="AA47" i="1506"/>
  <c r="AE47" i="1506" s="1"/>
  <c r="AA46" i="1506"/>
  <c r="AB46" i="1506" s="1"/>
  <c r="AA45" i="1506"/>
  <c r="AC45" i="1506" s="1"/>
  <c r="AA44" i="1506"/>
  <c r="AD44" i="1506" s="1"/>
  <c r="AA43" i="1506"/>
  <c r="AB43" i="1506" s="1"/>
  <c r="AA42" i="1506"/>
  <c r="AE42" i="1506" s="1"/>
  <c r="AA41" i="1506"/>
  <c r="AC41" i="1506" s="1"/>
  <c r="AA40" i="1506"/>
  <c r="AA39" i="1506"/>
  <c r="AE39" i="1506" s="1"/>
  <c r="AA38" i="1506"/>
  <c r="AE38" i="1506" s="1"/>
  <c r="AA37" i="1506"/>
  <c r="AC37" i="1506" s="1"/>
  <c r="S19" i="1577" l="1"/>
  <c r="U11" i="1577"/>
  <c r="I19" i="1577"/>
  <c r="U19" i="1577" s="1"/>
  <c r="U11" i="1576"/>
  <c r="I19" i="1576"/>
  <c r="U19" i="1576" s="1"/>
  <c r="F20" i="1576"/>
  <c r="S19" i="1576"/>
  <c r="S19" i="1575"/>
  <c r="U11" i="1575"/>
  <c r="I19" i="1575"/>
  <c r="U19" i="1575" s="1"/>
  <c r="S19" i="1574"/>
  <c r="I19" i="1574"/>
  <c r="U19" i="1574" s="1"/>
  <c r="U11" i="1574"/>
  <c r="S19" i="1573"/>
  <c r="U11" i="1573"/>
  <c r="I19" i="1573"/>
  <c r="U19" i="1573" s="1"/>
  <c r="S19" i="1572"/>
  <c r="I19" i="1572"/>
  <c r="U19" i="1572" s="1"/>
  <c r="U11" i="1572"/>
  <c r="U11" i="1571"/>
  <c r="I19" i="1571"/>
  <c r="U19" i="1571" s="1"/>
  <c r="S19" i="1571"/>
  <c r="U11" i="1570"/>
  <c r="I19" i="1570"/>
  <c r="U19" i="1570" s="1"/>
  <c r="S19" i="1570"/>
  <c r="S19" i="1569"/>
  <c r="U11" i="1569"/>
  <c r="I19" i="1569"/>
  <c r="U19" i="1569" s="1"/>
  <c r="S19" i="1568"/>
  <c r="U11" i="1568"/>
  <c r="I19" i="1568"/>
  <c r="U19" i="1568" s="1"/>
  <c r="S19" i="1567"/>
  <c r="U11" i="1567"/>
  <c r="I19" i="1567"/>
  <c r="U19" i="1567" s="1"/>
  <c r="S19" i="1566"/>
  <c r="U11" i="1566"/>
  <c r="I19" i="1566"/>
  <c r="U19" i="1566" s="1"/>
  <c r="U11" i="1565"/>
  <c r="I19" i="1565"/>
  <c r="U19" i="1565" s="1"/>
  <c r="S19" i="1565"/>
  <c r="S19" i="1564"/>
  <c r="U11" i="1564"/>
  <c r="I19" i="1564"/>
  <c r="U19" i="1564" s="1"/>
  <c r="S19" i="1563"/>
  <c r="U11" i="1563"/>
  <c r="I19" i="1563"/>
  <c r="U19" i="1563" s="1"/>
  <c r="S19" i="1562"/>
  <c r="U11" i="1562"/>
  <c r="I19" i="1562"/>
  <c r="U19" i="1562" s="1"/>
  <c r="U11" i="1561"/>
  <c r="I19" i="1561"/>
  <c r="U19" i="1561" s="1"/>
  <c r="S19" i="1561"/>
  <c r="S19" i="1560"/>
  <c r="U11" i="1560"/>
  <c r="I19" i="1560"/>
  <c r="U19" i="1560" s="1"/>
  <c r="I19" i="1559"/>
  <c r="U19" i="1559" s="1"/>
  <c r="U11" i="1559"/>
  <c r="F20" i="1559"/>
  <c r="S19" i="1559"/>
  <c r="S19" i="1558"/>
  <c r="I19" i="1558"/>
  <c r="U19" i="1558" s="1"/>
  <c r="U11" i="1558"/>
  <c r="U11" i="1557"/>
  <c r="I19" i="1557"/>
  <c r="U19" i="1557" s="1"/>
  <c r="S19" i="1557"/>
  <c r="F20" i="1557"/>
  <c r="I19" i="1556"/>
  <c r="U19" i="1556" s="1"/>
  <c r="U11" i="1556"/>
  <c r="S19" i="1556"/>
  <c r="F20" i="1556"/>
  <c r="S19" i="1555"/>
  <c r="I19" i="1555"/>
  <c r="U19" i="1555" s="1"/>
  <c r="U11" i="1555"/>
  <c r="S19" i="1554"/>
  <c r="U11" i="1554"/>
  <c r="I19" i="1554"/>
  <c r="U19" i="1554" s="1"/>
  <c r="U11" i="1553"/>
  <c r="I19" i="1553"/>
  <c r="U19" i="1553" s="1"/>
  <c r="S19" i="1553"/>
  <c r="F20" i="1553"/>
  <c r="S19" i="1552"/>
  <c r="I19" i="1552"/>
  <c r="U19" i="1552" s="1"/>
  <c r="U11" i="1552"/>
  <c r="S19" i="1551"/>
  <c r="I19" i="1551"/>
  <c r="U19" i="1551" s="1"/>
  <c r="U11" i="1551"/>
  <c r="I19" i="1550"/>
  <c r="U19" i="1550" s="1"/>
  <c r="U11" i="1550"/>
  <c r="S19" i="1550"/>
  <c r="F20" i="1550"/>
  <c r="S19" i="1549"/>
  <c r="U11" i="1549"/>
  <c r="I19" i="1549"/>
  <c r="U19" i="1549" s="1"/>
  <c r="S19" i="1548"/>
  <c r="U11" i="1548"/>
  <c r="I19" i="1548"/>
  <c r="U19" i="1548" s="1"/>
  <c r="S19" i="1547"/>
  <c r="I19" i="1547"/>
  <c r="U19" i="1547" s="1"/>
  <c r="U11" i="1547"/>
  <c r="I19" i="1546"/>
  <c r="U19" i="1546" s="1"/>
  <c r="U11" i="1546"/>
  <c r="S19" i="1546"/>
  <c r="F20" i="1546"/>
  <c r="S19" i="1545"/>
  <c r="U11" i="1545"/>
  <c r="I19" i="1545"/>
  <c r="U19" i="1545" s="1"/>
  <c r="S19" i="1544"/>
  <c r="U11" i="1544"/>
  <c r="I19" i="1544"/>
  <c r="U19" i="1544" s="1"/>
  <c r="U11" i="1543"/>
  <c r="I19" i="1543"/>
  <c r="U19" i="1543" s="1"/>
  <c r="S19" i="1543"/>
  <c r="F20" i="1543"/>
  <c r="S19" i="1542"/>
  <c r="U11" i="1542"/>
  <c r="I19" i="1542"/>
  <c r="U19" i="1542" s="1"/>
  <c r="S19" i="1541"/>
  <c r="U11" i="1541"/>
  <c r="I19" i="1541"/>
  <c r="U19" i="1541" s="1"/>
  <c r="I19" i="1540"/>
  <c r="U19" i="1540" s="1"/>
  <c r="U11" i="1540"/>
  <c r="S19" i="1540"/>
  <c r="S19" i="1539"/>
  <c r="U11" i="1539"/>
  <c r="I19" i="1539"/>
  <c r="U19" i="1539" s="1"/>
  <c r="AC79" i="1506"/>
  <c r="AD79" i="1506"/>
  <c r="AE79" i="1506"/>
  <c r="AC15" i="1506"/>
  <c r="AB17" i="1506"/>
  <c r="AC16" i="1506"/>
  <c r="AE16" i="1506"/>
  <c r="AB15" i="1506"/>
  <c r="AC17" i="1506"/>
  <c r="AD55" i="1506"/>
  <c r="AD51" i="1506"/>
  <c r="AD47" i="1506"/>
  <c r="AD54" i="1506"/>
  <c r="AD50" i="1506"/>
  <c r="AD46" i="1506"/>
  <c r="AD43" i="1506"/>
  <c r="AD42" i="1506"/>
  <c r="AD53" i="1506"/>
  <c r="AD49" i="1506"/>
  <c r="AD45" i="1506"/>
  <c r="AD41" i="1506"/>
  <c r="AC42" i="1506"/>
  <c r="AB42" i="1506"/>
  <c r="AB47" i="1506"/>
  <c r="AC49" i="1506"/>
  <c r="AB50" i="1506"/>
  <c r="AB38" i="1506"/>
  <c r="AC50" i="1506"/>
  <c r="AC43" i="1506"/>
  <c r="AB54" i="1506"/>
  <c r="AB39" i="1506"/>
  <c r="AB51" i="1506"/>
  <c r="AC38" i="1506"/>
  <c r="AC39" i="1506"/>
  <c r="AC46" i="1506"/>
  <c r="AC47" i="1506"/>
  <c r="AC53" i="1506"/>
  <c r="AC54" i="1506"/>
  <c r="AB55" i="1506"/>
  <c r="AB48" i="1506"/>
  <c r="AE49" i="1506"/>
  <c r="AC51" i="1506"/>
  <c r="AB52" i="1506"/>
  <c r="AE53" i="1506"/>
  <c r="AC55" i="1506"/>
  <c r="AE48" i="1506"/>
  <c r="AE52" i="1506"/>
  <c r="AC48" i="1506"/>
  <c r="AC52" i="1506"/>
  <c r="AE44" i="1506"/>
  <c r="AB37" i="1506"/>
  <c r="AC40" i="1506"/>
  <c r="AB41" i="1506"/>
  <c r="AE43" i="1506"/>
  <c r="AC44" i="1506"/>
  <c r="AB45" i="1506"/>
  <c r="AE46" i="1506"/>
  <c r="AE40" i="1506"/>
  <c r="AE37" i="1506"/>
  <c r="AB40" i="1506"/>
  <c r="AE41" i="1506"/>
  <c r="AB44" i="1506"/>
  <c r="AE45" i="1506"/>
  <c r="F20" i="1577" l="1"/>
  <c r="G9" i="1576"/>
  <c r="C9" i="1576" s="1"/>
  <c r="R20" i="1576"/>
  <c r="S9" i="1576" s="1"/>
  <c r="O9" i="1576" s="1"/>
  <c r="F20" i="1575"/>
  <c r="F20" i="1574"/>
  <c r="F20" i="1573"/>
  <c r="F20" i="1572"/>
  <c r="R20" i="1572"/>
  <c r="S9" i="1572" s="1"/>
  <c r="O9" i="1572" s="1"/>
  <c r="G9" i="1572"/>
  <c r="C9" i="1572" s="1"/>
  <c r="F20" i="1571"/>
  <c r="F20" i="1570"/>
  <c r="F20" i="1569"/>
  <c r="F20" i="1568"/>
  <c r="F20" i="1567"/>
  <c r="F20" i="1566"/>
  <c r="F20" i="1565"/>
  <c r="G9" i="1565"/>
  <c r="C9" i="1565" s="1"/>
  <c r="F20" i="1564"/>
  <c r="F20" i="1563"/>
  <c r="F20" i="1562"/>
  <c r="F20" i="1561"/>
  <c r="R20" i="1561"/>
  <c r="S9" i="1561" s="1"/>
  <c r="O9" i="1561" s="1"/>
  <c r="G9" i="1561"/>
  <c r="C9" i="1561" s="1"/>
  <c r="F20" i="1560"/>
  <c r="R20" i="1559"/>
  <c r="S9" i="1559" s="1"/>
  <c r="O9" i="1559" s="1"/>
  <c r="G9" i="1559"/>
  <c r="C9" i="1559" s="1"/>
  <c r="F20" i="1558"/>
  <c r="R20" i="1557"/>
  <c r="S9" i="1557" s="1"/>
  <c r="O9" i="1557" s="1"/>
  <c r="G9" i="1557"/>
  <c r="C9" i="1557" s="1"/>
  <c r="R20" i="1556"/>
  <c r="S9" i="1556" s="1"/>
  <c r="O9" i="1556" s="1"/>
  <c r="G9" i="1556"/>
  <c r="C9" i="1556" s="1"/>
  <c r="F20" i="1555"/>
  <c r="F20" i="1554"/>
  <c r="R20" i="1553"/>
  <c r="S9" i="1553" s="1"/>
  <c r="O9" i="1553" s="1"/>
  <c r="G9" i="1553"/>
  <c r="C9" i="1553" s="1"/>
  <c r="F20" i="1552"/>
  <c r="F20" i="1551"/>
  <c r="G9" i="1551"/>
  <c r="C9" i="1551" s="1"/>
  <c r="R20" i="1551"/>
  <c r="S9" i="1551" s="1"/>
  <c r="O9" i="1551" s="1"/>
  <c r="R20" i="1550"/>
  <c r="S9" i="1550" s="1"/>
  <c r="O9" i="1550" s="1"/>
  <c r="G9" i="1550"/>
  <c r="C9" i="1550" s="1"/>
  <c r="F20" i="1549"/>
  <c r="F20" i="1548"/>
  <c r="F20" i="1547"/>
  <c r="R20" i="1546"/>
  <c r="S9" i="1546" s="1"/>
  <c r="O9" i="1546" s="1"/>
  <c r="G9" i="1546"/>
  <c r="C9" i="1546" s="1"/>
  <c r="F20" i="1545"/>
  <c r="F20" i="1544"/>
  <c r="R20" i="1543"/>
  <c r="S9" i="1543" s="1"/>
  <c r="O9" i="1543" s="1"/>
  <c r="G9" i="1543"/>
  <c r="C9" i="1543" s="1"/>
  <c r="F20" i="1542"/>
  <c r="F20" i="1541"/>
  <c r="F20" i="1540"/>
  <c r="F20" i="1539"/>
  <c r="AA56" i="1506"/>
  <c r="AA57" i="1506"/>
  <c r="AA58" i="1506"/>
  <c r="G9" i="1577" l="1"/>
  <c r="C9" i="1577" s="1"/>
  <c r="R20" i="1577"/>
  <c r="S9" i="1577" s="1"/>
  <c r="O9" i="1577" s="1"/>
  <c r="G9" i="1575"/>
  <c r="C9" i="1575" s="1"/>
  <c r="R20" i="1575"/>
  <c r="S9" i="1575" s="1"/>
  <c r="O9" i="1575" s="1"/>
  <c r="G9" i="1574"/>
  <c r="C9" i="1574" s="1"/>
  <c r="R20" i="1574"/>
  <c r="S9" i="1574" s="1"/>
  <c r="O9" i="1574" s="1"/>
  <c r="G9" i="1573"/>
  <c r="C9" i="1573" s="1"/>
  <c r="R20" i="1573"/>
  <c r="S9" i="1573" s="1"/>
  <c r="O9" i="1573" s="1"/>
  <c r="G9" i="1571"/>
  <c r="C9" i="1571" s="1"/>
  <c r="R20" i="1571"/>
  <c r="S9" i="1571" s="1"/>
  <c r="O9" i="1571" s="1"/>
  <c r="R20" i="1570"/>
  <c r="S9" i="1570" s="1"/>
  <c r="O9" i="1570" s="1"/>
  <c r="G9" i="1570"/>
  <c r="C9" i="1570" s="1"/>
  <c r="R20" i="1569"/>
  <c r="S9" i="1569" s="1"/>
  <c r="O9" i="1569" s="1"/>
  <c r="G9" i="1569"/>
  <c r="C9" i="1569" s="1"/>
  <c r="G9" i="1568"/>
  <c r="C9" i="1568" s="1"/>
  <c r="R20" i="1568"/>
  <c r="S9" i="1568" s="1"/>
  <c r="O9" i="1568" s="1"/>
  <c r="G9" i="1567"/>
  <c r="C9" i="1567" s="1"/>
  <c r="R20" i="1567"/>
  <c r="S9" i="1567" s="1"/>
  <c r="O9" i="1567" s="1"/>
  <c r="G9" i="1566"/>
  <c r="C9" i="1566" s="1"/>
  <c r="R20" i="1566"/>
  <c r="S9" i="1566" s="1"/>
  <c r="O9" i="1566" s="1"/>
  <c r="R20" i="1565"/>
  <c r="S9" i="1565" s="1"/>
  <c r="O9" i="1565" s="1"/>
  <c r="G9" i="1564"/>
  <c r="C9" i="1564" s="1"/>
  <c r="R20" i="1564"/>
  <c r="S9" i="1564" s="1"/>
  <c r="O9" i="1564" s="1"/>
  <c r="G9" i="1563"/>
  <c r="C9" i="1563" s="1"/>
  <c r="R20" i="1563"/>
  <c r="S9" i="1563" s="1"/>
  <c r="O9" i="1563" s="1"/>
  <c r="G9" i="1562"/>
  <c r="C9" i="1562" s="1"/>
  <c r="R20" i="1562"/>
  <c r="S9" i="1562" s="1"/>
  <c r="O9" i="1562" s="1"/>
  <c r="G9" i="1560"/>
  <c r="C9" i="1560" s="1"/>
  <c r="R20" i="1560"/>
  <c r="S9" i="1560" s="1"/>
  <c r="O9" i="1560" s="1"/>
  <c r="R20" i="1558"/>
  <c r="S9" i="1558" s="1"/>
  <c r="O9" i="1558" s="1"/>
  <c r="G9" i="1558"/>
  <c r="C9" i="1558" s="1"/>
  <c r="R20" i="1555"/>
  <c r="S9" i="1555" s="1"/>
  <c r="O9" i="1555" s="1"/>
  <c r="G9" i="1555"/>
  <c r="C9" i="1555" s="1"/>
  <c r="G9" i="1554"/>
  <c r="C9" i="1554" s="1"/>
  <c r="R20" i="1554"/>
  <c r="S9" i="1554" s="1"/>
  <c r="O9" i="1554" s="1"/>
  <c r="G9" i="1552"/>
  <c r="C9" i="1552" s="1"/>
  <c r="R20" i="1552"/>
  <c r="S9" i="1552" s="1"/>
  <c r="O9" i="1552" s="1"/>
  <c r="G9" i="1549"/>
  <c r="C9" i="1549" s="1"/>
  <c r="R20" i="1549"/>
  <c r="S9" i="1549" s="1"/>
  <c r="O9" i="1549" s="1"/>
  <c r="G9" i="1548"/>
  <c r="C9" i="1548" s="1"/>
  <c r="R20" i="1548"/>
  <c r="S9" i="1548" s="1"/>
  <c r="O9" i="1548" s="1"/>
  <c r="G9" i="1547"/>
  <c r="C9" i="1547" s="1"/>
  <c r="R20" i="1547"/>
  <c r="S9" i="1547" s="1"/>
  <c r="O9" i="1547" s="1"/>
  <c r="R20" i="1545"/>
  <c r="S9" i="1545" s="1"/>
  <c r="O9" i="1545" s="1"/>
  <c r="G9" i="1545"/>
  <c r="C9" i="1545" s="1"/>
  <c r="R20" i="1544"/>
  <c r="S9" i="1544" s="1"/>
  <c r="O9" i="1544" s="1"/>
  <c r="G9" i="1544"/>
  <c r="C9" i="1544" s="1"/>
  <c r="G9" i="1542"/>
  <c r="C9" i="1542" s="1"/>
  <c r="R20" i="1542"/>
  <c r="S9" i="1542" s="1"/>
  <c r="O9" i="1542" s="1"/>
  <c r="R20" i="1541"/>
  <c r="S9" i="1541" s="1"/>
  <c r="O9" i="1541" s="1"/>
  <c r="G9" i="1541"/>
  <c r="C9" i="1541" s="1"/>
  <c r="R20" i="1540"/>
  <c r="S9" i="1540" s="1"/>
  <c r="O9" i="1540" s="1"/>
  <c r="G9" i="1540"/>
  <c r="C9" i="1540" s="1"/>
  <c r="G9" i="1539"/>
  <c r="C9" i="1539" s="1"/>
  <c r="R20" i="1539"/>
  <c r="S9" i="1539" s="1"/>
  <c r="O9" i="1539" s="1"/>
  <c r="AC58" i="1506"/>
  <c r="AD58" i="1506"/>
  <c r="AB57" i="1506"/>
  <c r="AD57" i="1506"/>
  <c r="AE56" i="1506"/>
  <c r="AD56" i="1506"/>
  <c r="AC57" i="1506"/>
  <c r="AE58" i="1506"/>
  <c r="AB56" i="1506"/>
  <c r="AE57" i="1506"/>
  <c r="AC56" i="1506"/>
  <c r="AB58" i="1506"/>
  <c r="AA78" i="1506"/>
  <c r="AD78" i="1506" s="1"/>
  <c r="AA77" i="1506"/>
  <c r="AA76" i="1506"/>
  <c r="AA75" i="1506"/>
  <c r="AA74" i="1506"/>
  <c r="AA73" i="1506"/>
  <c r="AA72" i="1506"/>
  <c r="AD72" i="1506" s="1"/>
  <c r="AA71" i="1506"/>
  <c r="AA70" i="1506"/>
  <c r="AD70" i="1506" s="1"/>
  <c r="AA69" i="1506"/>
  <c r="AA68" i="1506"/>
  <c r="AA67" i="1506"/>
  <c r="AA66" i="1506"/>
  <c r="AA65" i="1506"/>
  <c r="AA64" i="1506"/>
  <c r="AA63" i="1506"/>
  <c r="AD63" i="1506" s="1"/>
  <c r="AA62" i="1506"/>
  <c r="AA61" i="1506"/>
  <c r="AA60" i="1506"/>
  <c r="AA59" i="1506"/>
  <c r="AB67" i="1506" l="1"/>
  <c r="AD67" i="1506"/>
  <c r="AE64" i="1506"/>
  <c r="AD64" i="1506"/>
  <c r="AB65" i="1506"/>
  <c r="AD65" i="1506"/>
  <c r="AE76" i="1506"/>
  <c r="AD76" i="1506"/>
  <c r="AC68" i="1506"/>
  <c r="AD68" i="1506"/>
  <c r="AE71" i="1506"/>
  <c r="AD71" i="1506"/>
  <c r="AC75" i="1506"/>
  <c r="AD75" i="1506"/>
  <c r="AB62" i="1506"/>
  <c r="AD62" i="1506"/>
  <c r="AE66" i="1506"/>
  <c r="AD66" i="1506"/>
  <c r="AE69" i="1506"/>
  <c r="AD69" i="1506"/>
  <c r="AE73" i="1506"/>
  <c r="AD73" i="1506"/>
  <c r="AE77" i="1506"/>
  <c r="AD77" i="1506"/>
  <c r="AB74" i="1506"/>
  <c r="AD74" i="1506"/>
  <c r="AE59" i="1506"/>
  <c r="AD59" i="1506"/>
  <c r="AC60" i="1506"/>
  <c r="AD60" i="1506"/>
  <c r="AE61" i="1506"/>
  <c r="AD61" i="1506"/>
  <c r="AE75" i="1506"/>
  <c r="AC65" i="1506"/>
  <c r="AB78" i="1506"/>
  <c r="AC62" i="1506"/>
  <c r="AC73" i="1506"/>
  <c r="AC77" i="1506"/>
  <c r="AB77" i="1506"/>
  <c r="AE70" i="1506"/>
  <c r="AE62" i="1506"/>
  <c r="AE65" i="1506"/>
  <c r="AE78" i="1506"/>
  <c r="AB69" i="1506"/>
  <c r="AB63" i="1506"/>
  <c r="AC69" i="1506"/>
  <c r="AE63" i="1506"/>
  <c r="AE68" i="1506"/>
  <c r="AE72" i="1506"/>
  <c r="AB70" i="1506"/>
  <c r="AE60" i="1506"/>
  <c r="AC66" i="1506"/>
  <c r="AB72" i="1506"/>
  <c r="AC72" i="1506"/>
  <c r="AB59" i="1506"/>
  <c r="AB61" i="1506"/>
  <c r="AC71" i="1506"/>
  <c r="AB76" i="1506"/>
  <c r="AC59" i="1506"/>
  <c r="AB64" i="1506"/>
  <c r="AC67" i="1506"/>
  <c r="AB71" i="1506"/>
  <c r="AC74" i="1506"/>
  <c r="AC64" i="1506"/>
  <c r="AC61" i="1506"/>
  <c r="AB66" i="1506"/>
  <c r="AE67" i="1506"/>
  <c r="AB73" i="1506"/>
  <c r="AE74" i="1506"/>
  <c r="AC76" i="1506"/>
  <c r="AB60" i="1506"/>
  <c r="AC63" i="1506"/>
  <c r="AB68" i="1506"/>
  <c r="AC70" i="1506"/>
  <c r="AB75" i="1506"/>
  <c r="AC78" i="1506"/>
  <c r="AA36" i="1506" l="1"/>
  <c r="AE36" i="1506" l="1"/>
  <c r="AB36" i="1506"/>
  <c r="AC36" i="1506"/>
  <c r="AA35" i="1506"/>
  <c r="AA34" i="1506"/>
  <c r="AA33" i="1506"/>
  <c r="AA32" i="1506"/>
  <c r="AA31" i="1506"/>
  <c r="AE33" i="1506" l="1"/>
  <c r="AB34" i="1506"/>
  <c r="AE35" i="1506"/>
  <c r="AE31" i="1506"/>
  <c r="AC32" i="1506"/>
  <c r="AE32" i="1506"/>
  <c r="AB35" i="1506"/>
  <c r="AC34" i="1506"/>
  <c r="AB33" i="1506"/>
  <c r="AE34" i="1506"/>
  <c r="AB31" i="1506"/>
  <c r="AC33" i="1506"/>
  <c r="AC31" i="1506"/>
  <c r="AB32" i="1506"/>
  <c r="AC35" i="1506"/>
  <c r="N2" i="1494" l="1"/>
  <c r="AA30" i="1506" l="1"/>
  <c r="AA29" i="1506"/>
  <c r="AA28" i="1506"/>
  <c r="AA27" i="1506"/>
  <c r="AA26" i="1506"/>
  <c r="AE28" i="1506" l="1"/>
  <c r="AB28" i="1506"/>
  <c r="AC26" i="1506"/>
  <c r="AB26" i="1506"/>
  <c r="AE29" i="1506"/>
  <c r="AB29" i="1506"/>
  <c r="AE27" i="1506"/>
  <c r="AB27" i="1506"/>
  <c r="AE30" i="1506"/>
  <c r="AB30" i="1506"/>
  <c r="AC30" i="1506"/>
  <c r="AC29" i="1506"/>
  <c r="AC28" i="1506"/>
  <c r="AC27" i="1506"/>
  <c r="AE26" i="1506"/>
  <c r="AA25" i="1506" l="1"/>
  <c r="AE25" i="1506" l="1"/>
  <c r="AB25" i="1506"/>
  <c r="AC25" i="1506"/>
  <c r="AA4" i="1506" l="1"/>
  <c r="AC4" i="1506" l="1"/>
  <c r="AB4" i="1506"/>
  <c r="AE4" i="1506"/>
  <c r="AA2" i="1506" l="1"/>
  <c r="AA3" i="1506"/>
  <c r="AA5" i="1506"/>
  <c r="AA6" i="1506"/>
  <c r="AA7" i="1506"/>
  <c r="AA8" i="1506"/>
  <c r="AA9" i="1506"/>
  <c r="AA10" i="1506"/>
  <c r="AA11" i="1506"/>
  <c r="AA12" i="1506"/>
  <c r="AA13" i="1506"/>
  <c r="AA14" i="1506"/>
  <c r="AA18" i="1506"/>
  <c r="AA19" i="1506"/>
  <c r="AA20" i="1506"/>
  <c r="AA21" i="1506"/>
  <c r="AA22" i="1506"/>
  <c r="AA23" i="1506"/>
  <c r="AA24" i="1506"/>
  <c r="AB14" i="1506" l="1"/>
  <c r="AB9" i="1506"/>
  <c r="AB20" i="1506"/>
  <c r="AB12" i="1506"/>
  <c r="AB8" i="1506"/>
  <c r="AB5" i="1506"/>
  <c r="AB2" i="1506"/>
  <c r="AB24" i="1506"/>
  <c r="AB19" i="1506"/>
  <c r="AB11" i="1506"/>
  <c r="AB7" i="1506"/>
  <c r="AB3" i="1506"/>
  <c r="AB21" i="1506"/>
  <c r="AB13" i="1506"/>
  <c r="AB23" i="1506"/>
  <c r="AB22" i="1506"/>
  <c r="AB18" i="1506"/>
  <c r="AB10" i="1506"/>
  <c r="AB6" i="1506"/>
  <c r="AC23" i="1506"/>
  <c r="AC19" i="1506"/>
  <c r="AC11" i="1506"/>
  <c r="AC7" i="1506"/>
  <c r="AC10" i="1506"/>
  <c r="AC21" i="1506"/>
  <c r="AC13" i="1506"/>
  <c r="AC9" i="1506"/>
  <c r="AC24" i="1506"/>
  <c r="AC20" i="1506"/>
  <c r="AC12" i="1506"/>
  <c r="AC8" i="1506"/>
  <c r="AC5" i="1506"/>
  <c r="AE22" i="1506"/>
  <c r="AC22" i="1506"/>
  <c r="AC14" i="1506"/>
  <c r="AE14" i="1506"/>
  <c r="AE6" i="1506"/>
  <c r="AC6" i="1506"/>
  <c r="AC3" i="1506"/>
  <c r="AE3" i="1506"/>
  <c r="AE23" i="1506"/>
  <c r="AE19" i="1506"/>
  <c r="AE11" i="1506"/>
  <c r="AC18" i="1506"/>
  <c r="AE18" i="1506"/>
  <c r="AE10" i="1506"/>
  <c r="AC2" i="1506"/>
  <c r="AE2" i="1506"/>
  <c r="AE7" i="1506"/>
  <c r="AE21" i="1506"/>
  <c r="AE13" i="1506"/>
  <c r="AE9" i="1506"/>
  <c r="AE24" i="1506"/>
  <c r="AE20" i="1506"/>
  <c r="AE12" i="1506"/>
  <c r="AE8" i="1506"/>
  <c r="AE5" i="1506"/>
  <c r="R22" i="1494"/>
  <c r="N22" i="1494"/>
  <c r="S22" i="1494"/>
  <c r="O22" i="1494"/>
  <c r="F19" i="1494"/>
  <c r="R19" i="1494" s="1"/>
  <c r="U14" i="1494"/>
  <c r="S14" i="1494"/>
  <c r="R14" i="1494"/>
  <c r="U13" i="1494"/>
  <c r="S13" i="1494"/>
  <c r="R13" i="1494"/>
  <c r="Q13" i="1494"/>
  <c r="O13" i="1494"/>
  <c r="N13" i="1494"/>
  <c r="S12" i="1494"/>
  <c r="U12" i="1494" s="1"/>
  <c r="R12" i="1494"/>
  <c r="Q12" i="1494"/>
  <c r="O12" i="1494"/>
  <c r="N12" i="1494"/>
  <c r="R11" i="1494"/>
  <c r="O11" i="1494"/>
  <c r="N11" i="1494"/>
  <c r="G11" i="1494"/>
  <c r="I11" i="1494" s="1"/>
  <c r="U11" i="1494" s="1"/>
  <c r="R6" i="1494"/>
  <c r="N6" i="1494"/>
  <c r="N5" i="1494"/>
  <c r="R4" i="1494"/>
  <c r="G19" i="1494" l="1"/>
  <c r="S19" i="1494" s="1"/>
  <c r="I19" i="1494"/>
  <c r="U19" i="1494" s="1"/>
  <c r="S11" i="1494"/>
  <c r="F20" i="1494" l="1"/>
  <c r="G9" i="1494" l="1"/>
  <c r="C9" i="1494" s="1"/>
  <c r="R20" i="1494"/>
  <c r="S9" i="1494" s="1"/>
  <c r="O9" i="149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tc={08F0DFF2-8DBC-4A88-AF25-22910D619C3A}</author>
    <author>tc={FF3DC0EB-3489-4856-A8FA-B2BA5D34F17E}</author>
  </authors>
  <commentList>
    <comment ref="H43" authorId="0" shapeId="0" xr:uid="{08F0DFF2-8DBC-4A88-AF25-22910D619C3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PN Conversion
0247-08710-&gt;0247-09881</t>
      </text>
    </comment>
    <comment ref="H46" authorId="1" shapeId="0" xr:uid="{FF3DC0EB-3489-4856-A8FA-B2BA5D34F17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PN Conversion
0247-08710-&gt;0247-09881</t>
      </text>
    </comment>
  </commentList>
</comments>
</file>

<file path=xl/sharedStrings.xml><?xml version="1.0" encoding="utf-8"?>
<sst xmlns="http://schemas.openxmlformats.org/spreadsheetml/2006/main" count="2655" uniqueCount="79">
  <si>
    <r>
      <t xml:space="preserve">거   래   명   세   서 </t>
    </r>
    <r>
      <rPr>
        <b/>
        <u/>
        <sz val="12"/>
        <color theme="1" tint="0.499984740745262"/>
        <rFont val="맑은 고딕"/>
        <family val="3"/>
        <charset val="129"/>
        <scheme val="minor"/>
      </rPr>
      <t>(공급자용)</t>
    </r>
    <phoneticPr fontId="6" type="noConversion"/>
  </si>
  <si>
    <r>
      <t>거   래   명   세   서</t>
    </r>
    <r>
      <rPr>
        <b/>
        <u/>
        <sz val="14"/>
        <rFont val="맑은 고딕"/>
        <family val="3"/>
        <charset val="129"/>
        <scheme val="minor"/>
      </rPr>
      <t xml:space="preserve"> </t>
    </r>
    <r>
      <rPr>
        <b/>
        <u/>
        <sz val="12"/>
        <color theme="1" tint="0.499984740745262"/>
        <rFont val="맑은 고딕"/>
        <family val="3"/>
        <charset val="129"/>
        <scheme val="minor"/>
      </rPr>
      <t>(공급받는자용)</t>
    </r>
    <phoneticPr fontId="6" type="noConversion"/>
  </si>
  <si>
    <t>등록번호</t>
    <phoneticPr fontId="6" type="noConversion"/>
  </si>
  <si>
    <t>1 2 4 - 8 6 - 3 3 8 9 2</t>
    <phoneticPr fontId="6" type="noConversion"/>
  </si>
  <si>
    <t>상 호</t>
    <phoneticPr fontId="6" type="noConversion"/>
  </si>
  <si>
    <t>아이원스㈜</t>
    <phoneticPr fontId="6" type="noConversion"/>
  </si>
  <si>
    <t>성 명</t>
    <phoneticPr fontId="6" type="noConversion"/>
  </si>
  <si>
    <t>귀    하</t>
    <phoneticPr fontId="6" type="noConversion"/>
  </si>
  <si>
    <t>사업장</t>
    <phoneticPr fontId="6" type="noConversion"/>
  </si>
  <si>
    <t>경기도 안성시 고삼면 안성대로 2061</t>
    <phoneticPr fontId="6" type="noConversion"/>
  </si>
  <si>
    <t>아래와 같이 계산합니다.</t>
    <phoneticPr fontId="6" type="noConversion"/>
  </si>
  <si>
    <t xml:space="preserve"> 업 태</t>
    <phoneticPr fontId="6" type="noConversion"/>
  </si>
  <si>
    <t>제   조</t>
    <phoneticPr fontId="6" type="noConversion"/>
  </si>
  <si>
    <t>종 목</t>
    <phoneticPr fontId="6" type="noConversion"/>
  </si>
  <si>
    <t>반도체 부품 가공</t>
    <phoneticPr fontId="6" type="noConversion"/>
  </si>
  <si>
    <t>업 태</t>
    <phoneticPr fontId="6" type="noConversion"/>
  </si>
  <si>
    <t>합 계 금 액  :일금</t>
    <phoneticPr fontId="6" type="noConversion"/>
  </si>
  <si>
    <t>)</t>
    <phoneticPr fontId="6" type="noConversion"/>
  </si>
  <si>
    <t>품       명</t>
    <phoneticPr fontId="6" type="noConversion"/>
  </si>
  <si>
    <t>규    격</t>
    <phoneticPr fontId="6" type="noConversion"/>
  </si>
  <si>
    <t>수량</t>
    <phoneticPr fontId="6" type="noConversion"/>
  </si>
  <si>
    <t>단     가</t>
    <phoneticPr fontId="6" type="noConversion"/>
  </si>
  <si>
    <t>공 급 가 액</t>
    <phoneticPr fontId="6" type="noConversion"/>
  </si>
  <si>
    <t>세    액</t>
    <phoneticPr fontId="6" type="noConversion"/>
  </si>
  <si>
    <t>계</t>
    <phoneticPr fontId="6" type="noConversion"/>
  </si>
  <si>
    <t>전 잔 금</t>
    <phoneticPr fontId="6" type="noConversion"/>
  </si>
  <si>
    <t>합 계</t>
    <phoneticPr fontId="6" type="noConversion"/>
  </si>
  <si>
    <t>입     금</t>
    <phoneticPr fontId="6" type="noConversion"/>
  </si>
  <si>
    <t>잔 금</t>
    <phoneticPr fontId="6" type="noConversion"/>
  </si>
  <si>
    <t>인수자</t>
    <phoneticPr fontId="6" type="noConversion"/>
  </si>
  <si>
    <t>(PO :</t>
    <phoneticPr fontId="17" type="noConversion"/>
  </si>
  <si>
    <t>)</t>
    <phoneticPr fontId="3" type="noConversion"/>
  </si>
  <si>
    <t>PO</t>
  </si>
  <si>
    <t>cost</t>
    <phoneticPr fontId="3" type="noConversion"/>
  </si>
  <si>
    <t>po</t>
    <phoneticPr fontId="3" type="noConversion"/>
  </si>
  <si>
    <t>date</t>
    <phoneticPr fontId="3" type="noConversion"/>
  </si>
  <si>
    <t xml:space="preserve">    박   인   래</t>
    <phoneticPr fontId="6" type="noConversion"/>
  </si>
  <si>
    <t>어플라이드 머티어리얼즈 코리아㈜</t>
    <phoneticPr fontId="6" type="noConversion"/>
  </si>
  <si>
    <t>No.</t>
  </si>
  <si>
    <t>Customer</t>
  </si>
  <si>
    <t>Fab</t>
  </si>
  <si>
    <t>Tool</t>
    <phoneticPr fontId="17" type="noConversion"/>
  </si>
  <si>
    <t>SS P/N</t>
  </si>
  <si>
    <t>SS S/N</t>
  </si>
  <si>
    <t>0247#</t>
    <phoneticPr fontId="27" type="noConversion"/>
  </si>
  <si>
    <t>Amount
[USD]</t>
    <phoneticPr fontId="3" type="noConversion"/>
  </si>
  <si>
    <t>SERVICE KIT, PPC, SOLID SEAL J-TYPE SAFE</t>
  </si>
  <si>
    <t>0247#</t>
  </si>
  <si>
    <t>0247#</t>
    <phoneticPr fontId="3" type="noConversion"/>
  </si>
  <si>
    <t>kit id</t>
    <phoneticPr fontId="3" type="noConversion"/>
  </si>
  <si>
    <t>Shipment No</t>
    <phoneticPr fontId="3" type="noConversion"/>
  </si>
  <si>
    <t>Shipment No.</t>
    <phoneticPr fontId="3" type="noConversion"/>
  </si>
  <si>
    <t>PO Price detail</t>
    <phoneticPr fontId="32" type="noConversion"/>
  </si>
  <si>
    <t>Samsung</t>
  </si>
  <si>
    <t>P2</t>
    <phoneticPr fontId="3" type="noConversion"/>
  </si>
  <si>
    <t>A0496495</t>
  </si>
  <si>
    <t>0247-06824</t>
    <phoneticPr fontId="3" type="noConversion"/>
  </si>
  <si>
    <t>A0563802</t>
  </si>
  <si>
    <t>Samsung</t>
    <phoneticPr fontId="3" type="noConversion"/>
  </si>
  <si>
    <t>TSV</t>
  </si>
  <si>
    <t>TSV</t>
    <phoneticPr fontId="3" type="noConversion"/>
  </si>
  <si>
    <t>A0618162</t>
    <phoneticPr fontId="3" type="noConversion"/>
  </si>
  <si>
    <t>0247-10518</t>
    <phoneticPr fontId="3" type="noConversion"/>
  </si>
  <si>
    <t>A0618162</t>
  </si>
  <si>
    <t>0247-10597</t>
    <phoneticPr fontId="3" type="noConversion"/>
  </si>
  <si>
    <t>L16</t>
  </si>
  <si>
    <t>A0503419</t>
  </si>
  <si>
    <t>0247-07525</t>
    <phoneticPr fontId="3" type="noConversion"/>
  </si>
  <si>
    <t>0247-08364</t>
    <phoneticPr fontId="3" type="noConversion"/>
  </si>
  <si>
    <t>C1</t>
    <phoneticPr fontId="3" type="noConversion"/>
  </si>
  <si>
    <t>L5</t>
    <phoneticPr fontId="3" type="noConversion"/>
  </si>
  <si>
    <t>A0505752</t>
  </si>
  <si>
    <t>0247-08435</t>
    <phoneticPr fontId="3" type="noConversion"/>
  </si>
  <si>
    <t>P2</t>
  </si>
  <si>
    <t>0247-10518</t>
  </si>
  <si>
    <t>0247-06824</t>
  </si>
  <si>
    <t>0247-07525</t>
  </si>
  <si>
    <t>A0618164</t>
  </si>
  <si>
    <t>C3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</si>
</sst>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44" formatCode="_-&quot;₩&quot;* #,##0.00_-;\-&quot;₩&quot;* #,##0.00_-;_-&quot;₩&quot;* &quot;-&quot;??_-;_-@_-"/>
    <numFmt numFmtId="26" formatCode="\$#,##0.00_);[Red]\(\$#,##0.00\)"/>
    <numFmt numFmtId="176" formatCode="yyyy&quot;년&quot;\ m&quot;월&quot;\ d&quot;일&quot;;@"/>
    <numFmt numFmtId="177" formatCode="#,##0_ ;[Red]\-#,##0\ "/>
    <numFmt numFmtId="178" formatCode="#,##0.0_ ;[Red]\-#,##0.0\ "/>
    <numFmt numFmtId="179" formatCode="_ * #,##0_ ;_ * \-#,##0_ ;_ * &quot;-&quot;_ ;_ @_ "/>
    <numFmt numFmtId="180" formatCode="_ * #,##0.00_ ;_ * \-#,##0.00_ ;_ * &quot;-&quot;??_ ;_ @_ "/>
    <numFmt numFmtId="181" formatCode="yyyy&quot;년 &quot;mm&quot;월 &quot;dd&quot;일&quot;;@"/>
    <numFmt numFmtId="182" formatCode="&quot;₩&quot;\ #,###&quot;/$&quot;"/>
    <numFmt numFmtId="183" formatCode="[$-409]dd\/mmm\/yy;@"/>
  </numFmts>
  <fonts count="43" x14ac:knownFonts="1">
    <font>
      <sz val="11"/>
      <color theme="1"/>
      <name val="맑은 고딕"/>
      <family val="2"/>
      <charset val="129"/>
      <scheme val="minor"/>
    </font>
    <font>
      <sz val="11"/>
      <name val="바탕체"/>
      <family val="1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u/>
      <sz val="18"/>
      <name val="맑은 고딕"/>
      <family val="3"/>
      <charset val="129"/>
      <scheme val="minor"/>
    </font>
    <font>
      <b/>
      <u/>
      <sz val="12"/>
      <color theme="1" tint="0.499984740745262"/>
      <name val="맑은 고딕"/>
      <family val="3"/>
      <charset val="129"/>
      <scheme val="minor"/>
    </font>
    <font>
      <sz val="8"/>
      <name val="바탕체"/>
      <family val="1"/>
      <charset val="129"/>
    </font>
    <font>
      <u val="double"/>
      <sz val="18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name val="맑은 고딕"/>
      <family val="3"/>
      <charset val="129"/>
      <scheme val="minor"/>
    </font>
    <font>
      <sz val="10"/>
      <name val="Arial"/>
      <family val="2"/>
    </font>
    <font>
      <sz val="8"/>
      <name val="돋움"/>
      <family val="3"/>
      <charset val="129"/>
    </font>
    <font>
      <b/>
      <sz val="12"/>
      <name val="Arial"/>
      <family val="2"/>
    </font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rgb="FF0070C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b/>
      <sz val="10"/>
      <color rgb="FF0070C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u/>
      <sz val="11"/>
      <color theme="0" tint="-0.249977111117893"/>
      <name val="맑은 고딕"/>
      <family val="3"/>
      <charset val="129"/>
      <scheme val="minor"/>
    </font>
    <font>
      <sz val="10"/>
      <color theme="1"/>
      <name val="Arial"/>
      <family val="2"/>
    </font>
    <font>
      <sz val="9"/>
      <name val="맑은 고딕"/>
      <family val="2"/>
      <charset val="136"/>
      <scheme val="minor"/>
    </font>
    <font>
      <sz val="11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0"/>
      <color rgb="FF000000"/>
      <name val="Arial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36"/>
      <scheme val="minor"/>
    </font>
    <font>
      <sz val="11"/>
      <name val="Calibri"/>
      <family val="2"/>
    </font>
    <font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ashDotDot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24">
    <xf numFmtId="0" fontId="0" fillId="0" borderId="0">
      <alignment vertical="center"/>
    </xf>
    <xf numFmtId="0" fontId="1" fillId="0" borderId="0"/>
    <xf numFmtId="41" fontId="14" fillId="0" borderId="0" applyFont="0" applyFill="0" applyBorder="0" applyAlignment="0" applyProtection="0">
      <alignment vertical="center"/>
    </xf>
    <xf numFmtId="0" fontId="16" fillId="0" borderId="0"/>
    <xf numFmtId="0" fontId="16" fillId="0" borderId="0"/>
    <xf numFmtId="0" fontId="18" fillId="0" borderId="9" applyNumberFormat="0" applyAlignment="0" applyProtection="0">
      <alignment horizontal="left" vertical="center"/>
    </xf>
    <xf numFmtId="0" fontId="18" fillId="0" borderId="14">
      <alignment horizontal="left" vertical="center"/>
    </xf>
    <xf numFmtId="179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0" fontId="14" fillId="0" borderId="0"/>
    <xf numFmtId="41" fontId="20" fillId="0" borderId="0" applyFont="0" applyFill="0" applyBorder="0" applyAlignment="0" applyProtection="0">
      <alignment vertical="center"/>
    </xf>
    <xf numFmtId="0" fontId="14" fillId="0" borderId="0"/>
    <xf numFmtId="0" fontId="33" fillId="0" borderId="0">
      <alignment vertical="center"/>
    </xf>
    <xf numFmtId="44" fontId="33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83" fontId="33" fillId="0" borderId="0"/>
    <xf numFmtId="0" fontId="35" fillId="0" borderId="0">
      <alignment vertical="top"/>
    </xf>
    <xf numFmtId="0" fontId="36" fillId="0" borderId="0"/>
    <xf numFmtId="0" fontId="37" fillId="0" borderId="0">
      <alignment vertical="center"/>
    </xf>
    <xf numFmtId="0" fontId="33" fillId="0" borderId="0">
      <alignment vertical="center"/>
    </xf>
    <xf numFmtId="0" fontId="38" fillId="0" borderId="0"/>
    <xf numFmtId="41" fontId="20" fillId="0" borderId="0" applyFont="0" applyFill="0" applyBorder="0" applyAlignment="0" applyProtection="0">
      <alignment vertical="center"/>
    </xf>
    <xf numFmtId="0" fontId="36" fillId="0" borderId="0"/>
  </cellStyleXfs>
  <cellXfs count="172">
    <xf numFmtId="0" fontId="0" fillId="0" borderId="0" xfId="0">
      <alignment vertical="center"/>
    </xf>
    <xf numFmtId="0" fontId="2" fillId="2" borderId="0" xfId="1" applyFont="1" applyFill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 vertical="center"/>
    </xf>
    <xf numFmtId="0" fontId="7" fillId="2" borderId="5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center" vertical="center"/>
    </xf>
    <xf numFmtId="0" fontId="11" fillId="2" borderId="5" xfId="1" applyFont="1" applyFill="1" applyBorder="1" applyAlignment="1">
      <alignment horizontal="center" vertical="center"/>
    </xf>
    <xf numFmtId="0" fontId="11" fillId="2" borderId="4" xfId="1" applyFont="1" applyFill="1" applyBorder="1" applyAlignment="1">
      <alignment horizontal="center" vertical="center"/>
    </xf>
    <xf numFmtId="0" fontId="12" fillId="2" borderId="12" xfId="1" applyFont="1" applyFill="1" applyBorder="1" applyAlignment="1">
      <alignment horizontal="center" vertical="center"/>
    </xf>
    <xf numFmtId="0" fontId="9" fillId="2" borderId="13" xfId="1" applyFont="1" applyFill="1" applyBorder="1" applyAlignment="1">
      <alignment horizontal="center" vertical="center"/>
    </xf>
    <xf numFmtId="0" fontId="9" fillId="2" borderId="5" xfId="1" applyFont="1" applyFill="1" applyBorder="1" applyAlignment="1">
      <alignment horizontal="center" vertical="center"/>
    </xf>
    <xf numFmtId="0" fontId="9" fillId="2" borderId="4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right" vertical="center"/>
    </xf>
    <xf numFmtId="0" fontId="13" fillId="2" borderId="14" xfId="1" applyFont="1" applyFill="1" applyBorder="1" applyAlignment="1">
      <alignment horizontal="center" vertical="center" wrapText="1"/>
    </xf>
    <xf numFmtId="0" fontId="2" fillId="2" borderId="15" xfId="1" applyFont="1" applyFill="1" applyBorder="1" applyAlignment="1">
      <alignment horizontal="center"/>
    </xf>
    <xf numFmtId="0" fontId="9" fillId="2" borderId="5" xfId="1" applyFont="1" applyFill="1" applyBorder="1" applyAlignment="1">
      <alignment horizontal="left" vertical="center"/>
    </xf>
    <xf numFmtId="0" fontId="9" fillId="2" borderId="4" xfId="1" applyFont="1" applyFill="1" applyBorder="1" applyAlignment="1">
      <alignment horizontal="left" vertical="center"/>
    </xf>
    <xf numFmtId="0" fontId="2" fillId="2" borderId="0" xfId="1" applyFont="1" applyFill="1" applyAlignment="1">
      <alignment horizontal="left" vertical="center"/>
    </xf>
    <xf numFmtId="0" fontId="2" fillId="2" borderId="10" xfId="1" applyFont="1" applyFill="1" applyBorder="1" applyAlignment="1">
      <alignment horizontal="center" vertical="center"/>
    </xf>
    <xf numFmtId="0" fontId="12" fillId="2" borderId="6" xfId="1" applyFont="1" applyFill="1" applyBorder="1" applyAlignment="1">
      <alignment horizontal="center" vertical="center"/>
    </xf>
    <xf numFmtId="0" fontId="13" fillId="2" borderId="14" xfId="1" applyFont="1" applyFill="1" applyBorder="1" applyAlignment="1">
      <alignment horizontal="right" vertical="center"/>
    </xf>
    <xf numFmtId="0" fontId="13" fillId="2" borderId="14" xfId="1" applyFont="1" applyFill="1" applyBorder="1" applyAlignment="1">
      <alignment vertical="center"/>
    </xf>
    <xf numFmtId="0" fontId="13" fillId="2" borderId="5" xfId="1" applyFont="1" applyFill="1" applyBorder="1" applyAlignment="1">
      <alignment horizontal="center" vertical="center"/>
    </xf>
    <xf numFmtId="0" fontId="13" fillId="2" borderId="4" xfId="1" applyFont="1" applyFill="1" applyBorder="1" applyAlignment="1">
      <alignment horizontal="center" vertical="center"/>
    </xf>
    <xf numFmtId="0" fontId="9" fillId="2" borderId="6" xfId="1" applyFont="1" applyFill="1" applyBorder="1" applyAlignment="1">
      <alignment horizontal="center" vertical="center"/>
    </xf>
    <xf numFmtId="0" fontId="13" fillId="2" borderId="17" xfId="1" applyFont="1" applyFill="1" applyBorder="1" applyAlignment="1">
      <alignment horizontal="right" vertical="center"/>
    </xf>
    <xf numFmtId="0" fontId="15" fillId="2" borderId="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2" fillId="2" borderId="18" xfId="1" applyFont="1" applyFill="1" applyBorder="1" applyAlignment="1">
      <alignment horizontal="center" vertical="center"/>
    </xf>
    <xf numFmtId="0" fontId="12" fillId="2" borderId="5" xfId="1" applyFont="1" applyFill="1" applyBorder="1" applyAlignment="1">
      <alignment horizontal="center" vertical="center"/>
    </xf>
    <xf numFmtId="0" fontId="9" fillId="2" borderId="22" xfId="3" applyFont="1" applyFill="1" applyBorder="1" applyAlignment="1">
      <alignment horizontal="left" vertical="center" wrapText="1" indent="1" shrinkToFit="1"/>
    </xf>
    <xf numFmtId="177" fontId="12" fillId="2" borderId="24" xfId="3" applyNumberFormat="1" applyFont="1" applyFill="1" applyBorder="1" applyAlignment="1">
      <alignment horizontal="center" vertical="center" shrinkToFit="1"/>
    </xf>
    <xf numFmtId="177" fontId="12" fillId="2" borderId="24" xfId="2" applyNumberFormat="1" applyFont="1" applyFill="1" applyBorder="1" applyAlignment="1">
      <alignment horizontal="right" vertical="center" shrinkToFit="1"/>
    </xf>
    <xf numFmtId="41" fontId="12" fillId="2" borderId="5" xfId="2" applyFont="1" applyFill="1" applyBorder="1" applyAlignment="1">
      <alignment horizontal="center" vertical="center"/>
    </xf>
    <xf numFmtId="0" fontId="9" fillId="2" borderId="25" xfId="3" applyFont="1" applyFill="1" applyBorder="1" applyAlignment="1">
      <alignment horizontal="left" vertical="center" wrapText="1" indent="1" shrinkToFit="1"/>
    </xf>
    <xf numFmtId="177" fontId="12" fillId="2" borderId="26" xfId="3" applyNumberFormat="1" applyFont="1" applyFill="1" applyBorder="1" applyAlignment="1">
      <alignment horizontal="center" vertical="center" shrinkToFit="1"/>
    </xf>
    <xf numFmtId="0" fontId="12" fillId="2" borderId="25" xfId="3" applyFont="1" applyFill="1" applyBorder="1" applyAlignment="1">
      <alignment horizontal="left" vertical="center" wrapText="1" shrinkToFit="1"/>
    </xf>
    <xf numFmtId="177" fontId="12" fillId="2" borderId="26" xfId="2" applyNumberFormat="1" applyFont="1" applyFill="1" applyBorder="1" applyAlignment="1">
      <alignment horizontal="right" vertical="center" shrinkToFit="1"/>
    </xf>
    <xf numFmtId="178" fontId="12" fillId="2" borderId="26" xfId="3" applyNumberFormat="1" applyFont="1" applyFill="1" applyBorder="1" applyAlignment="1">
      <alignment horizontal="center" vertical="center" shrinkToFit="1"/>
    </xf>
    <xf numFmtId="0" fontId="12" fillId="2" borderId="26" xfId="1" applyFont="1" applyFill="1" applyBorder="1" applyAlignment="1">
      <alignment horizontal="center" vertical="center"/>
    </xf>
    <xf numFmtId="0" fontId="12" fillId="2" borderId="25" xfId="1" applyFont="1" applyFill="1" applyBorder="1" applyAlignment="1">
      <alignment horizontal="left" vertical="center" wrapText="1" shrinkToFit="1"/>
    </xf>
    <xf numFmtId="0" fontId="15" fillId="2" borderId="31" xfId="1" applyFont="1" applyFill="1" applyBorder="1" applyAlignment="1">
      <alignment horizontal="center" vertical="center"/>
    </xf>
    <xf numFmtId="41" fontId="12" fillId="2" borderId="5" xfId="1" applyNumberFormat="1" applyFont="1" applyFill="1" applyBorder="1" applyAlignment="1">
      <alignment horizontal="center" vertical="center"/>
    </xf>
    <xf numFmtId="41" fontId="15" fillId="2" borderId="5" xfId="2" applyFont="1" applyFill="1" applyBorder="1" applyAlignment="1">
      <alignment horizontal="center" vertical="center"/>
    </xf>
    <xf numFmtId="0" fontId="12" fillId="2" borderId="31" xfId="1" applyFont="1" applyFill="1" applyBorder="1" applyAlignment="1">
      <alignment horizontal="center" vertical="center"/>
    </xf>
    <xf numFmtId="0" fontId="12" fillId="2" borderId="4" xfId="1" applyFont="1" applyFill="1" applyBorder="1" applyAlignment="1">
      <alignment horizontal="center" vertical="center"/>
    </xf>
    <xf numFmtId="0" fontId="2" fillId="2" borderId="32" xfId="1" applyFont="1" applyFill="1" applyBorder="1" applyAlignment="1">
      <alignment horizontal="center" vertical="center"/>
    </xf>
    <xf numFmtId="0" fontId="2" fillId="2" borderId="33" xfId="1" applyFont="1" applyFill="1" applyBorder="1" applyAlignment="1">
      <alignment horizontal="center" vertical="center"/>
    </xf>
    <xf numFmtId="0" fontId="2" fillId="2" borderId="14" xfId="1" applyFont="1" applyFill="1" applyBorder="1" applyAlignment="1">
      <alignment vertical="center" wrapText="1"/>
    </xf>
    <xf numFmtId="0" fontId="2" fillId="2" borderId="14" xfId="1" applyFont="1" applyFill="1" applyBorder="1" applyAlignment="1">
      <alignment horizontal="right" vertical="center" wrapText="1"/>
    </xf>
    <xf numFmtId="177" fontId="12" fillId="2" borderId="26" xfId="2" applyNumberFormat="1" applyFont="1" applyFill="1" applyBorder="1" applyAlignment="1">
      <alignment horizontal="right" vertical="center"/>
    </xf>
    <xf numFmtId="0" fontId="12" fillId="2" borderId="16" xfId="1" applyFont="1" applyFill="1" applyBorder="1" applyAlignment="1">
      <alignment horizontal="center" vertical="center"/>
    </xf>
    <xf numFmtId="0" fontId="13" fillId="2" borderId="16" xfId="1" applyFont="1" applyFill="1" applyBorder="1" applyAlignment="1">
      <alignment horizontal="center" vertical="center"/>
    </xf>
    <xf numFmtId="0" fontId="13" fillId="3" borderId="19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/>
    </xf>
    <xf numFmtId="0" fontId="2" fillId="2" borderId="0" xfId="1" quotePrefix="1" applyFont="1" applyFill="1" applyAlignment="1">
      <alignment horizontal="left" vertical="center"/>
    </xf>
    <xf numFmtId="176" fontId="2" fillId="2" borderId="11" xfId="1" applyNumberFormat="1" applyFont="1" applyFill="1" applyBorder="1" applyAlignment="1">
      <alignment vertical="center"/>
    </xf>
    <xf numFmtId="176" fontId="2" fillId="2" borderId="10" xfId="1" applyNumberFormat="1" applyFont="1" applyFill="1" applyBorder="1" applyAlignment="1">
      <alignment horizontal="right" vertical="center"/>
    </xf>
    <xf numFmtId="176" fontId="2" fillId="2" borderId="11" xfId="1" applyNumberFormat="1" applyFont="1" applyFill="1" applyBorder="1" applyAlignment="1">
      <alignment horizontal="right" vertical="center"/>
    </xf>
    <xf numFmtId="177" fontId="12" fillId="2" borderId="24" xfId="2" applyNumberFormat="1" applyFont="1" applyFill="1" applyBorder="1" applyAlignment="1">
      <alignment horizontal="right" vertical="center"/>
    </xf>
    <xf numFmtId="41" fontId="12" fillId="2" borderId="24" xfId="2" applyFont="1" applyFill="1" applyBorder="1" applyAlignment="1">
      <alignment horizontal="right" vertical="center"/>
    </xf>
    <xf numFmtId="41" fontId="12" fillId="2" borderId="5" xfId="2" applyFont="1" applyFill="1" applyBorder="1" applyAlignment="1">
      <alignment horizontal="right" vertical="center"/>
    </xf>
    <xf numFmtId="41" fontId="12" fillId="2" borderId="4" xfId="2" applyFont="1" applyFill="1" applyBorder="1" applyAlignment="1">
      <alignment horizontal="right" vertical="center"/>
    </xf>
    <xf numFmtId="0" fontId="12" fillId="2" borderId="6" xfId="1" applyFont="1" applyFill="1" applyBorder="1" applyAlignment="1">
      <alignment horizontal="right" vertical="center"/>
    </xf>
    <xf numFmtId="177" fontId="12" fillId="2" borderId="24" xfId="3" applyNumberFormat="1" applyFont="1" applyFill="1" applyBorder="1" applyAlignment="1">
      <alignment horizontal="right" vertical="center" shrinkToFit="1"/>
    </xf>
    <xf numFmtId="0" fontId="9" fillId="2" borderId="26" xfId="3" applyFont="1" applyFill="1" applyBorder="1" applyAlignment="1">
      <alignment horizontal="right" vertical="center" wrapText="1" indent="1" shrinkToFit="1"/>
    </xf>
    <xf numFmtId="177" fontId="12" fillId="2" borderId="26" xfId="3" applyNumberFormat="1" applyFont="1" applyFill="1" applyBorder="1" applyAlignment="1">
      <alignment horizontal="right" vertical="center" shrinkToFit="1"/>
    </xf>
    <xf numFmtId="0" fontId="12" fillId="2" borderId="26" xfId="3" applyFont="1" applyFill="1" applyBorder="1" applyAlignment="1">
      <alignment horizontal="right" vertical="center" wrapText="1" shrinkToFit="1"/>
    </xf>
    <xf numFmtId="178" fontId="12" fillId="2" borderId="26" xfId="3" applyNumberFormat="1" applyFont="1" applyFill="1" applyBorder="1" applyAlignment="1">
      <alignment horizontal="right" vertical="center" shrinkToFit="1"/>
    </xf>
    <xf numFmtId="0" fontId="12" fillId="2" borderId="26" xfId="1" applyFont="1" applyFill="1" applyBorder="1" applyAlignment="1">
      <alignment horizontal="right" vertical="center"/>
    </xf>
    <xf numFmtId="0" fontId="12" fillId="2" borderId="26" xfId="1" applyFont="1" applyFill="1" applyBorder="1" applyAlignment="1">
      <alignment horizontal="right" vertical="center" wrapText="1" shrinkToFit="1"/>
    </xf>
    <xf numFmtId="41" fontId="15" fillId="2" borderId="31" xfId="2" applyFont="1" applyFill="1" applyBorder="1" applyAlignment="1">
      <alignment horizontal="right" vertical="center"/>
    </xf>
    <xf numFmtId="41" fontId="15" fillId="2" borderId="31" xfId="1" applyNumberFormat="1" applyFont="1" applyFill="1" applyBorder="1" applyAlignment="1">
      <alignment horizontal="right" vertical="center"/>
    </xf>
    <xf numFmtId="41" fontId="12" fillId="2" borderId="5" xfId="1" applyNumberFormat="1" applyFont="1" applyFill="1" applyBorder="1" applyAlignment="1">
      <alignment horizontal="right" vertical="center"/>
    </xf>
    <xf numFmtId="41" fontId="12" fillId="2" borderId="4" xfId="1" applyNumberFormat="1" applyFont="1" applyFill="1" applyBorder="1" applyAlignment="1">
      <alignment horizontal="right" vertical="center"/>
    </xf>
    <xf numFmtId="0" fontId="15" fillId="2" borderId="31" xfId="1" applyFont="1" applyFill="1" applyBorder="1" applyAlignment="1">
      <alignment horizontal="right" vertical="center"/>
    </xf>
    <xf numFmtId="41" fontId="15" fillId="2" borderId="5" xfId="2" applyFont="1" applyFill="1" applyBorder="1" applyAlignment="1">
      <alignment horizontal="right" vertical="center"/>
    </xf>
    <xf numFmtId="41" fontId="15" fillId="2" borderId="4" xfId="2" applyFont="1" applyFill="1" applyBorder="1" applyAlignment="1">
      <alignment horizontal="right" vertical="center"/>
    </xf>
    <xf numFmtId="0" fontId="12" fillId="2" borderId="31" xfId="1" applyFont="1" applyFill="1" applyBorder="1" applyAlignment="1">
      <alignment horizontal="right" vertical="center"/>
    </xf>
    <xf numFmtId="0" fontId="9" fillId="2" borderId="34" xfId="3" applyFont="1" applyFill="1" applyBorder="1" applyAlignment="1">
      <alignment horizontal="left" vertical="center" wrapText="1" indent="1" shrinkToFit="1"/>
    </xf>
    <xf numFmtId="0" fontId="21" fillId="0" borderId="0" xfId="0" applyFont="1">
      <alignment vertical="center"/>
    </xf>
    <xf numFmtId="0" fontId="22" fillId="0" borderId="31" xfId="0" applyFont="1" applyBorder="1" applyAlignment="1">
      <alignment horizontal="center" vertical="center"/>
    </xf>
    <xf numFmtId="181" fontId="22" fillId="4" borderId="0" xfId="0" applyNumberFormat="1" applyFont="1" applyFill="1">
      <alignment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5" borderId="31" xfId="0" applyFont="1" applyFill="1" applyBorder="1" applyAlignment="1">
      <alignment horizontal="center" vertical="center" wrapText="1"/>
    </xf>
    <xf numFmtId="0" fontId="25" fillId="5" borderId="31" xfId="0" applyFont="1" applyFill="1" applyBorder="1" applyAlignment="1">
      <alignment horizontal="center" vertical="center" wrapText="1"/>
    </xf>
    <xf numFmtId="0" fontId="26" fillId="5" borderId="31" xfId="0" applyFont="1" applyFill="1" applyBorder="1" applyAlignment="1">
      <alignment horizontal="center" vertical="center" wrapText="1"/>
    </xf>
    <xf numFmtId="0" fontId="24" fillId="5" borderId="31" xfId="0" quotePrefix="1" applyFont="1" applyFill="1" applyBorder="1" applyAlignment="1">
      <alignment horizontal="center" vertical="center" wrapText="1"/>
    </xf>
    <xf numFmtId="0" fontId="28" fillId="0" borderId="31" xfId="0" applyFont="1" applyBorder="1" applyAlignment="1">
      <alignment horizontal="center" vertical="center"/>
    </xf>
    <xf numFmtId="26" fontId="28" fillId="0" borderId="31" xfId="0" applyNumberFormat="1" applyFont="1" applyBorder="1" applyAlignment="1">
      <alignment horizontal="center" vertical="center"/>
    </xf>
    <xf numFmtId="0" fontId="28" fillId="0" borderId="31" xfId="9" applyFont="1" applyBorder="1" applyAlignment="1">
      <alignment horizontal="center" vertical="center"/>
    </xf>
    <xf numFmtId="182" fontId="29" fillId="6" borderId="0" xfId="0" applyNumberFormat="1" applyFont="1" applyFill="1">
      <alignment vertical="center"/>
    </xf>
    <xf numFmtId="0" fontId="22" fillId="0" borderId="31" xfId="0" applyFont="1" applyBorder="1" applyAlignment="1">
      <alignment horizontal="center" vertical="center" wrapText="1"/>
    </xf>
    <xf numFmtId="0" fontId="31" fillId="0" borderId="31" xfId="0" applyFont="1" applyBorder="1" applyAlignment="1">
      <alignment horizontal="left" vertical="center" wrapText="1"/>
    </xf>
    <xf numFmtId="0" fontId="31" fillId="0" borderId="31" xfId="0" applyFont="1" applyBorder="1" applyAlignment="1">
      <alignment horizontal="left" vertical="center"/>
    </xf>
    <xf numFmtId="41" fontId="22" fillId="7" borderId="31" xfId="1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9" fillId="0" borderId="31" xfId="0" applyFont="1" applyBorder="1" applyAlignment="1">
      <alignment horizontal="center" vertical="center"/>
    </xf>
    <xf numFmtId="26" fontId="31" fillId="0" borderId="31" xfId="0" applyNumberFormat="1" applyFont="1" applyBorder="1" applyAlignment="1">
      <alignment horizontal="left" vertical="center" wrapText="1"/>
    </xf>
    <xf numFmtId="0" fontId="21" fillId="0" borderId="31" xfId="0" applyFont="1" applyBorder="1" applyAlignment="1">
      <alignment horizontal="center" vertical="center"/>
    </xf>
    <xf numFmtId="0" fontId="40" fillId="0" borderId="31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/>
    </xf>
    <xf numFmtId="41" fontId="22" fillId="0" borderId="31" xfId="10" applyFont="1" applyFill="1" applyBorder="1" applyAlignment="1">
      <alignment horizontal="center" vertical="center"/>
    </xf>
    <xf numFmtId="41" fontId="21" fillId="0" borderId="31" xfId="1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6" fontId="31" fillId="0" borderId="31" xfId="0" applyNumberFormat="1" applyFont="1" applyBorder="1" applyAlignment="1">
      <alignment horizontal="left" vertical="center" wrapText="1"/>
    </xf>
    <xf numFmtId="0" fontId="41" fillId="0" borderId="31" xfId="0" applyFont="1" applyBorder="1" applyAlignment="1">
      <alignment horizontal="center" vertical="center"/>
    </xf>
    <xf numFmtId="0" fontId="42" fillId="0" borderId="31" xfId="0" applyFont="1" applyBorder="1" applyAlignment="1">
      <alignment horizontal="center" vertical="center"/>
    </xf>
    <xf numFmtId="181" fontId="21" fillId="0" borderId="0" xfId="0" applyNumberFormat="1" applyFont="1">
      <alignment vertical="center"/>
    </xf>
    <xf numFmtId="0" fontId="28" fillId="8" borderId="31" xfId="0" applyFont="1" applyFill="1" applyBorder="1" applyAlignment="1">
      <alignment horizontal="center" vertical="center"/>
    </xf>
    <xf numFmtId="0" fontId="41" fillId="8" borderId="31" xfId="0" applyFont="1" applyFill="1" applyBorder="1" applyAlignment="1">
      <alignment horizontal="center" vertical="center"/>
    </xf>
    <xf numFmtId="0" fontId="9" fillId="2" borderId="7" xfId="1" applyFont="1" applyFill="1" applyBorder="1" applyAlignment="1">
      <alignment horizontal="left" vertical="center"/>
    </xf>
    <xf numFmtId="0" fontId="9" fillId="2" borderId="8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center" vertical="center"/>
    </xf>
    <xf numFmtId="0" fontId="9" fillId="2" borderId="7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0" fillId="2" borderId="7" xfId="1" applyFont="1" applyFill="1" applyBorder="1" applyAlignment="1">
      <alignment horizontal="center" vertical="center"/>
    </xf>
    <xf numFmtId="0" fontId="10" fillId="2" borderId="9" xfId="1" applyFont="1" applyFill="1" applyBorder="1" applyAlignment="1">
      <alignment horizontal="center" vertical="center"/>
    </xf>
    <xf numFmtId="0" fontId="10" fillId="2" borderId="8" xfId="1" applyFont="1" applyFill="1" applyBorder="1" applyAlignment="1">
      <alignment horizontal="center" vertical="center"/>
    </xf>
    <xf numFmtId="0" fontId="9" fillId="2" borderId="7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9" fillId="2" borderId="9" xfId="1" applyFont="1" applyFill="1" applyBorder="1" applyAlignment="1">
      <alignment horizontal="center" vertical="center"/>
    </xf>
    <xf numFmtId="41" fontId="13" fillId="2" borderId="14" xfId="2" applyFont="1" applyFill="1" applyBorder="1" applyAlignment="1">
      <alignment horizontal="center" vertical="center"/>
    </xf>
    <xf numFmtId="0" fontId="13" fillId="3" borderId="20" xfId="1" applyFont="1" applyFill="1" applyBorder="1" applyAlignment="1">
      <alignment horizontal="center" vertical="center"/>
    </xf>
    <xf numFmtId="0" fontId="13" fillId="3" borderId="19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/>
    </xf>
    <xf numFmtId="0" fontId="12" fillId="2" borderId="23" xfId="1" applyFont="1" applyFill="1" applyBorder="1" applyAlignment="1">
      <alignment horizontal="center" vertical="center" shrinkToFit="1"/>
    </xf>
    <xf numFmtId="0" fontId="12" fillId="2" borderId="22" xfId="1" applyFont="1" applyFill="1" applyBorder="1" applyAlignment="1">
      <alignment horizontal="center" vertical="center" shrinkToFit="1"/>
    </xf>
    <xf numFmtId="41" fontId="12" fillId="2" borderId="24" xfId="2" applyFont="1" applyFill="1" applyBorder="1" applyAlignment="1">
      <alignment horizontal="right" vertical="center"/>
    </xf>
    <xf numFmtId="177" fontId="12" fillId="2" borderId="24" xfId="2" applyNumberFormat="1" applyFont="1" applyFill="1" applyBorder="1" applyAlignment="1">
      <alignment horizontal="right" vertical="center"/>
    </xf>
    <xf numFmtId="0" fontId="12" fillId="2" borderId="23" xfId="1" applyFont="1" applyFill="1" applyBorder="1" applyAlignment="1">
      <alignment horizontal="right" vertical="center" shrinkToFit="1"/>
    </xf>
    <xf numFmtId="0" fontId="12" fillId="2" borderId="22" xfId="1" applyFont="1" applyFill="1" applyBorder="1" applyAlignment="1">
      <alignment horizontal="right" vertical="center" shrinkToFit="1"/>
    </xf>
    <xf numFmtId="0" fontId="12" fillId="2" borderId="27" xfId="1" applyFont="1" applyFill="1" applyBorder="1" applyAlignment="1">
      <alignment horizontal="center" vertical="center" shrinkToFit="1"/>
    </xf>
    <xf numFmtId="0" fontId="12" fillId="2" borderId="28" xfId="1" applyFont="1" applyFill="1" applyBorder="1" applyAlignment="1">
      <alignment horizontal="center" vertical="center" shrinkToFit="1"/>
    </xf>
    <xf numFmtId="177" fontId="12" fillId="2" borderId="27" xfId="2" applyNumberFormat="1" applyFont="1" applyFill="1" applyBorder="1" applyAlignment="1">
      <alignment horizontal="right" vertical="center"/>
    </xf>
    <xf numFmtId="177" fontId="12" fillId="2" borderId="25" xfId="2" applyNumberFormat="1" applyFont="1" applyFill="1" applyBorder="1" applyAlignment="1">
      <alignment horizontal="right" vertical="center"/>
    </xf>
    <xf numFmtId="0" fontId="12" fillId="2" borderId="27" xfId="1" applyFont="1" applyFill="1" applyBorder="1" applyAlignment="1">
      <alignment horizontal="right" vertical="center" shrinkToFit="1"/>
    </xf>
    <xf numFmtId="0" fontId="12" fillId="2" borderId="28" xfId="1" applyFont="1" applyFill="1" applyBorder="1" applyAlignment="1">
      <alignment horizontal="right" vertical="center" shrinkToFit="1"/>
    </xf>
    <xf numFmtId="0" fontId="12" fillId="2" borderId="25" xfId="1" applyFont="1" applyFill="1" applyBorder="1" applyAlignment="1">
      <alignment horizontal="right" vertical="center" shrinkToFit="1"/>
    </xf>
    <xf numFmtId="0" fontId="12" fillId="2" borderId="25" xfId="1" applyFont="1" applyFill="1" applyBorder="1" applyAlignment="1">
      <alignment horizontal="center" vertical="center" shrinkToFit="1"/>
    </xf>
    <xf numFmtId="0" fontId="2" fillId="2" borderId="14" xfId="1" applyFont="1" applyFill="1" applyBorder="1" applyAlignment="1">
      <alignment horizontal="center" vertical="center" wrapText="1"/>
    </xf>
    <xf numFmtId="0" fontId="2" fillId="2" borderId="14" xfId="1" applyFont="1" applyFill="1" applyBorder="1" applyAlignment="1">
      <alignment horizontal="left" vertical="center" wrapText="1"/>
    </xf>
    <xf numFmtId="0" fontId="13" fillId="2" borderId="14" xfId="1" applyFont="1" applyFill="1" applyBorder="1" applyAlignment="1">
      <alignment horizontal="center" vertical="center"/>
    </xf>
    <xf numFmtId="0" fontId="13" fillId="2" borderId="16" xfId="1" applyFont="1" applyFill="1" applyBorder="1" applyAlignment="1">
      <alignment horizontal="center" vertical="center"/>
    </xf>
    <xf numFmtId="41" fontId="15" fillId="2" borderId="17" xfId="1" applyNumberFormat="1" applyFont="1" applyFill="1" applyBorder="1" applyAlignment="1">
      <alignment horizontal="right" vertical="center"/>
    </xf>
    <xf numFmtId="0" fontId="15" fillId="2" borderId="16" xfId="1" applyFont="1" applyFill="1" applyBorder="1" applyAlignment="1">
      <alignment horizontal="right" vertical="center"/>
    </xf>
    <xf numFmtId="0" fontId="13" fillId="2" borderId="17" xfId="1" applyFont="1" applyFill="1" applyBorder="1" applyAlignment="1">
      <alignment horizontal="center" vertical="center"/>
    </xf>
    <xf numFmtId="0" fontId="12" fillId="2" borderId="17" xfId="1" applyFont="1" applyFill="1" applyBorder="1" applyAlignment="1">
      <alignment horizontal="center" vertical="center"/>
    </xf>
    <xf numFmtId="0" fontId="12" fillId="2" borderId="16" xfId="1" applyFont="1" applyFill="1" applyBorder="1" applyAlignment="1">
      <alignment horizontal="center" vertical="center"/>
    </xf>
    <xf numFmtId="41" fontId="13" fillId="2" borderId="17" xfId="2" applyFont="1" applyFill="1" applyBorder="1" applyAlignment="1">
      <alignment horizontal="right" vertical="center"/>
    </xf>
    <xf numFmtId="41" fontId="13" fillId="2" borderId="14" xfId="2" applyFont="1" applyFill="1" applyBorder="1" applyAlignment="1">
      <alignment horizontal="right" vertical="center"/>
    </xf>
    <xf numFmtId="41" fontId="13" fillId="2" borderId="16" xfId="2" applyFont="1" applyFill="1" applyBorder="1" applyAlignment="1">
      <alignment horizontal="right" vertical="center"/>
    </xf>
    <xf numFmtId="0" fontId="12" fillId="2" borderId="17" xfId="1" applyFont="1" applyFill="1" applyBorder="1" applyAlignment="1">
      <alignment horizontal="right" vertical="center"/>
    </xf>
    <xf numFmtId="0" fontId="12" fillId="2" borderId="16" xfId="1" applyFont="1" applyFill="1" applyBorder="1" applyAlignment="1">
      <alignment horizontal="right" vertical="center"/>
    </xf>
    <xf numFmtId="0" fontId="30" fillId="2" borderId="2" xfId="1" applyFont="1" applyFill="1" applyBorder="1" applyAlignment="1">
      <alignment horizontal="right" vertical="top"/>
    </xf>
    <xf numFmtId="0" fontId="12" fillId="2" borderId="14" xfId="1" applyFont="1" applyFill="1" applyBorder="1" applyAlignment="1">
      <alignment horizontal="center" vertical="center"/>
    </xf>
    <xf numFmtId="177" fontId="12" fillId="2" borderId="29" xfId="2" applyNumberFormat="1" applyFont="1" applyFill="1" applyBorder="1" applyAlignment="1">
      <alignment horizontal="right" vertical="center"/>
    </xf>
    <xf numFmtId="177" fontId="12" fillId="2" borderId="30" xfId="2" applyNumberFormat="1" applyFont="1" applyFill="1" applyBorder="1" applyAlignment="1">
      <alignment horizontal="right" vertical="center"/>
    </xf>
    <xf numFmtId="177" fontId="12" fillId="2" borderId="26" xfId="2" applyNumberFormat="1" applyFont="1" applyFill="1" applyBorder="1" applyAlignment="1">
      <alignment horizontal="right" vertical="center"/>
    </xf>
    <xf numFmtId="176" fontId="2" fillId="8" borderId="10" xfId="1" applyNumberFormat="1" applyFont="1" applyFill="1" applyBorder="1" applyAlignment="1">
      <alignment horizontal="right" vertical="center"/>
    </xf>
    <xf numFmtId="0" fontId="12" fillId="8" borderId="23" xfId="1" applyFont="1" applyFill="1" applyBorder="1" applyAlignment="1">
      <alignment horizontal="center" vertical="center" shrinkToFit="1"/>
    </xf>
    <xf numFmtId="0" fontId="12" fillId="8" borderId="22" xfId="1" applyFont="1" applyFill="1" applyBorder="1" applyAlignment="1">
      <alignment horizontal="center" vertical="center" shrinkToFit="1"/>
    </xf>
    <xf numFmtId="177" fontId="12" fillId="8" borderId="24" xfId="2" applyNumberFormat="1" applyFont="1" applyFill="1" applyBorder="1" applyAlignment="1">
      <alignment horizontal="right" vertical="center" shrinkToFit="1"/>
    </xf>
    <xf numFmtId="41" fontId="12" fillId="0" borderId="24" xfId="2" applyFont="1" applyFill="1" applyBorder="1" applyAlignment="1">
      <alignment horizontal="right" vertical="center"/>
    </xf>
    <xf numFmtId="41" fontId="12" fillId="0" borderId="24" xfId="2" applyFont="1" applyFill="1" applyBorder="1" applyAlignment="1">
      <alignment horizontal="right" vertical="center"/>
    </xf>
    <xf numFmtId="0" fontId="2" fillId="8" borderId="14" xfId="1" applyFont="1" applyFill="1" applyBorder="1" applyAlignment="1">
      <alignment horizontal="center" vertical="center" wrapText="1"/>
    </xf>
    <xf numFmtId="0" fontId="2" fillId="8" borderId="14" xfId="1" applyFont="1" applyFill="1" applyBorder="1" applyAlignment="1">
      <alignment horizontal="left" vertical="center" wrapText="1"/>
    </xf>
  </cellXfs>
  <cellStyles count="24">
    <cellStyle name="_x0002_._x0011__x0002_._x001b__x0002_ _x0015_%_x0018__x0001_" xfId="4" xr:uid="{00000000-0005-0000-0000-000000000000}"/>
    <cellStyle name="Header1" xfId="5" xr:uid="{00000000-0005-0000-0000-000001000000}"/>
    <cellStyle name="Header2" xfId="6" xr:uid="{00000000-0005-0000-0000-000002000000}"/>
    <cellStyle name="Normal 2" xfId="15" xr:uid="{00000000-0005-0000-0000-000003000000}"/>
    <cellStyle name="쉼표 [0]" xfId="10" builtinId="6"/>
    <cellStyle name="쉼표 [0] 2" xfId="2" xr:uid="{00000000-0005-0000-0000-000005000000}"/>
    <cellStyle name="쉼표 [0] 3" xfId="22" xr:uid="{A290A45F-661A-4500-B533-354E412A4FBE}"/>
    <cellStyle name="一般 2" xfId="23" xr:uid="{8913588B-C5F2-40D1-B7A0-5B4CA9EA4DF6}"/>
    <cellStyle name="콤마 [0]_95" xfId="7" xr:uid="{00000000-0005-0000-0000-000006000000}"/>
    <cellStyle name="콤마_95" xfId="8" xr:uid="{00000000-0005-0000-0000-000007000000}"/>
    <cellStyle name="통화 2" xfId="13" xr:uid="{00000000-0005-0000-0000-000008000000}"/>
    <cellStyle name="표준" xfId="0" builtinId="0"/>
    <cellStyle name="표준 146" xfId="16" xr:uid="{00000000-0005-0000-0000-00000A000000}"/>
    <cellStyle name="표준 2" xfId="9" xr:uid="{00000000-0005-0000-0000-00000B000000}"/>
    <cellStyle name="표준 2 2" xfId="19" xr:uid="{00000000-0005-0000-0000-00000C000000}"/>
    <cellStyle name="표준 2 3" xfId="14" xr:uid="{00000000-0005-0000-0000-00000D000000}"/>
    <cellStyle name="표준 2 4" xfId="11" xr:uid="{00000000-0005-0000-0000-00000E000000}"/>
    <cellStyle name="표준 3" xfId="17" xr:uid="{00000000-0005-0000-0000-00000F000000}"/>
    <cellStyle name="표준 4" xfId="20" xr:uid="{00000000-0005-0000-0000-000010000000}"/>
    <cellStyle name="표준 5" xfId="21" xr:uid="{00000000-0005-0000-0000-000011000000}"/>
    <cellStyle name="표준 5 2 2" xfId="18" xr:uid="{00000000-0005-0000-0000-000012000000}"/>
    <cellStyle name="표준 6" xfId="12" xr:uid="{00000000-0005-0000-0000-000013000000}"/>
    <cellStyle name="표준_거래명세서" xfId="1" xr:uid="{00000000-0005-0000-0000-000014000000}"/>
    <cellStyle name="표준_거래명세서(세금계산서)" xfId="3" xr:uid="{00000000-0005-0000-0000-000015000000}"/>
  </cellStyles>
  <dxfs count="1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45720</xdr:colOff>
          <xdr:row>1</xdr:row>
          <xdr:rowOff>0</xdr:rowOff>
        </xdr:from>
        <xdr:to>
          <xdr:col>31</xdr:col>
          <xdr:colOff>1249680</xdr:colOff>
          <xdr:row>4</xdr:row>
          <xdr:rowOff>190500</xdr:rowOff>
        </xdr:to>
        <xdr:sp macro="" textlink="">
          <xdr:nvSpPr>
            <xdr:cNvPr id="30722" name="CommandButton1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618565</xdr:colOff>
      <xdr:row>11</xdr:row>
      <xdr:rowOff>29135</xdr:rowOff>
    </xdr:from>
    <xdr:to>
      <xdr:col>40</xdr:col>
      <xdr:colOff>64994</xdr:colOff>
      <xdr:row>18</xdr:row>
      <xdr:rowOff>56031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480741" y="4063253"/>
          <a:ext cx="6091518" cy="15172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1.</a:t>
          </a:r>
          <a:r>
            <a:rPr lang="en-US" altLang="ko-KR" sz="1100" baseline="0"/>
            <a:t> Masterfile</a:t>
          </a:r>
          <a:r>
            <a:rPr lang="ko-KR" altLang="en-US" sz="1100" baseline="0"/>
            <a:t>에서 출하일 기준으로 </a:t>
          </a:r>
          <a:r>
            <a:rPr lang="en-US" altLang="ko-KR" sz="1100" baseline="0"/>
            <a:t>Sorting</a:t>
          </a:r>
          <a:r>
            <a:rPr lang="ko-KR" altLang="en-US" sz="1100" baseline="0"/>
            <a:t>한후 </a:t>
          </a:r>
          <a:r>
            <a:rPr lang="en-US" altLang="ko-KR" sz="1100" baseline="0"/>
            <a:t>[No~0247#]</a:t>
          </a:r>
          <a:r>
            <a:rPr lang="ko-KR" altLang="en-US" sz="1100" baseline="0"/>
            <a:t>까지 복사하여 붙여넣기</a:t>
          </a:r>
          <a:endParaRPr lang="en-US" altLang="ko-KR" sz="1100" baseline="0"/>
        </a:p>
        <a:p>
          <a:endParaRPr lang="en-US" altLang="ko-KR" sz="1100" baseline="0"/>
        </a:p>
        <a:p>
          <a:r>
            <a:rPr lang="en-US" altLang="ko-KR" sz="1100" baseline="0"/>
            <a:t>2. I</a:t>
          </a:r>
          <a:r>
            <a:rPr lang="ko-KR" altLang="en-US" sz="1100" baseline="0"/>
            <a:t>열에 각 </a:t>
          </a:r>
          <a:r>
            <a:rPr lang="en-US" altLang="ko-KR" sz="1100" baseline="0"/>
            <a:t>Part</a:t>
          </a:r>
          <a:r>
            <a:rPr lang="ko-KR" altLang="en-US" sz="1100" baseline="0"/>
            <a:t>별 리페어 또는 세정비용 기록 </a:t>
          </a:r>
          <a:r>
            <a:rPr lang="en-US" altLang="ko-KR" sz="1100" baseline="0"/>
            <a:t>- </a:t>
          </a:r>
          <a:r>
            <a:rPr lang="ko-KR" altLang="en-US" sz="1100" baseline="0"/>
            <a:t>단위 </a:t>
          </a:r>
          <a:r>
            <a:rPr lang="en-US" altLang="ko-KR" sz="1100" baseline="0"/>
            <a:t>: USD</a:t>
          </a:r>
        </a:p>
        <a:p>
          <a:endParaRPr lang="en-US" altLang="ko-KR" sz="1100" baseline="0"/>
        </a:p>
        <a:p>
          <a:r>
            <a:rPr lang="en-US" altLang="ko-KR" sz="1100" baseline="0"/>
            <a:t>3. Z1</a:t>
          </a:r>
          <a:r>
            <a:rPr lang="ko-KR" altLang="en-US" sz="1100" baseline="0"/>
            <a:t>셀에 그달의 환율정보 기록</a:t>
          </a:r>
          <a:endParaRPr lang="en-US" altLang="ko-KR" sz="1100" baseline="0"/>
        </a:p>
        <a:p>
          <a:endParaRPr lang="en-US" altLang="ko-KR" sz="1100" baseline="0"/>
        </a:p>
        <a:p>
          <a:r>
            <a:rPr lang="en-US" altLang="ko-KR" sz="1100" baseline="0"/>
            <a:t>4. </a:t>
          </a:r>
          <a:r>
            <a:rPr lang="ko-KR" altLang="en-US" sz="1100" baseline="0"/>
            <a:t>클릭</a:t>
          </a:r>
          <a:r>
            <a:rPr lang="en-US" altLang="ko-KR" sz="1100" baseline="0"/>
            <a:t>!!!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4" name="Group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 rot="251450">
          <a:off x="1925902" y="4682663"/>
          <a:ext cx="2879960" cy="1289137"/>
          <a:chOff x="1781642" y="4361906"/>
          <a:chExt cx="3209926" cy="1619107"/>
        </a:xfrm>
      </xdr:grpSpPr>
      <xdr:sp macro="" textlink="">
        <xdr:nvSpPr>
          <xdr:cNvPr id="5" name="Freeform 5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6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9" name="Group 4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 rot="251450">
          <a:off x="8581458" y="4678170"/>
          <a:ext cx="2879960" cy="1287232"/>
          <a:chOff x="1781642" y="4361906"/>
          <a:chExt cx="3209926" cy="1619107"/>
        </a:xfrm>
      </xdr:grpSpPr>
      <xdr:sp macro="" textlink="">
        <xdr:nvSpPr>
          <xdr:cNvPr id="10" name="Freeform 5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" name="Straight Connector 6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12" name="Group 4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 rot="251450">
          <a:off x="1925902" y="4682663"/>
          <a:ext cx="2879960" cy="1289137"/>
          <a:chOff x="1781642" y="4361906"/>
          <a:chExt cx="3209926" cy="1619107"/>
        </a:xfrm>
      </xdr:grpSpPr>
      <xdr:sp macro="" textlink="">
        <xdr:nvSpPr>
          <xdr:cNvPr id="13" name="Freeform 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4" name="Straight Connector 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5" name="Group 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 rot="251450">
          <a:off x="8581458" y="4678170"/>
          <a:ext cx="2879960" cy="1287232"/>
          <a:chOff x="1781642" y="4361906"/>
          <a:chExt cx="3209926" cy="1619107"/>
        </a:xfrm>
      </xdr:grpSpPr>
      <xdr:sp macro="" textlink="">
        <xdr:nvSpPr>
          <xdr:cNvPr id="16" name="Freeform 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7" name="Straight Connector 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094F76F-1B83-4570-9616-F7F23A7838D8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10AE140E-8ACD-C97E-C5AA-EE1D8E06288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2F7570D1-4445-C60F-68BD-FDA532D542C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79B367A-0BCD-4223-9F82-CC89E94E1351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7636AED-2E1D-36AD-32FB-83BA9BFC213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8F1B8D03-021A-7B89-F5DF-ADFFBCEC1A6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796D0212-E859-4BBA-AEED-6469F9C10CBC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E8FB12F6-DC0E-F7D5-AB1D-3D035246E54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59C5E458-106A-4E67-97EB-3E242DDBBE4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C2602F02-3F2C-4419-BE1F-7726C66B63AF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A4946B2A-0C0E-3887-8EC3-7F3F2F3E013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391CC381-BCA6-34E6-7944-7CAAFF1AC23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EF44CD41-8BA8-45A1-BA27-EC36DEA8D9D9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C10C4914-6EDE-D014-88C6-C1C0C472DF0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92E5137-E5D5-63F3-F595-7D7E4351DE8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781B78A-5A7E-4093-B088-B9B7325EBFF2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7EF8379E-C9D6-1FE0-849C-6B111C82940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78713D70-58E0-699C-188F-9BC441EF28A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772CC5D5-A673-4902-AEF6-C27270FEC9C3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DF1DCD8C-5F97-28F6-AC8C-C05BE2D2F76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96C4B3B0-9022-7BCC-D264-48730D565C1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7D2F409B-FA28-441E-A4C9-1336C18D4044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EE565459-8E86-8AB2-1CB3-A9A559A114D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39032490-159C-D3B7-9DDF-CB69263A011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9D136AB0-08D1-4C1C-812C-033757D4CD08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5EBF1D3-14F8-AF28-81ED-1E6BB1C9F0E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58B3835D-5657-8885-4B4A-371688F562E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719DF80-CE55-4158-85FD-E3FC693D3DDB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48CD8C98-8529-0F83-9D20-EDAE8B7AEB2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AE1D6DF5-69FE-DF06-3621-73859D6345B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F3127EDA-17D2-4076-BF75-8111D7DCC2EF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F4A42BAD-0F8C-FDE9-31D1-F288D228262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708371D-9C7A-1BD1-AA00-2C89DE40D93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E043D19-A3E2-4A51-B453-F469CCB291B1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60E88838-D695-95B2-7B5D-687C6C342C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6CBABB9-A782-3DD5-AE14-5E987525B14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63852832-324B-4872-8133-F5B4A8EE682F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A29D3D98-E9A6-2A69-B5FE-741BCE925F4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D78C2D6D-8064-464C-2E41-C6EE18CFB0F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9A32B1F8-82C2-45A4-8175-C02386E12E5A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90117FB0-D6D8-AE35-8006-5A6C85E35B5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2213061-9E0C-6A39-B168-00B9FE85BEB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24467F3B-D451-4FD5-91AF-7B944DA37C81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39C5579A-DAD0-91DF-CF08-6572185C138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088A6A32-25E9-C3A0-E6D6-480598470EE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08ED1862-6DCF-41C4-9E8C-47577BA6DBD4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FA7AAC0-8C96-8DF2-E085-50D932454EC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D746A221-D9E9-3586-3200-112E94E5C40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F89A62AC-4424-497A-B473-39CCED97A458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DB70247-4385-F28E-CD67-57D4C701BAB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A9EAAC9A-6980-4C1E-F372-1A36E779CAF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8CB186B-D78E-4A96-9281-59B5AA7A9482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FF6AB547-8BC7-3F22-FC89-5130E6965DA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7DEDBCA-40A4-774B-86C6-325B9732818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2160B5E0-82CF-4EDA-B8FC-0CCEE89DDA03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3AEA27C-40D3-5C22-3A94-0ED7202595B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F03401FC-DE26-1C8E-FA7D-04BA3146CF8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3EC05663-E90A-4CFB-B8E3-54CCEA4ED1FB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58DBD28B-8BD8-CEE2-53E0-5A7B32E3A88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11453711-01D7-5C60-0D88-65C094CD90B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31924EDB-AD05-473F-8223-3A4A1071C4D0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2333F69-9816-39E6-0002-2AF1B543D99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AFDADB8-3DF5-0CC7-7F0B-A3F4C878276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CFC9D8F1-1A6B-42AB-B784-5A0F8C2BB975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3D8B46E6-FBC7-74F3-57A7-9F79A448640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234C4682-91BF-2BB2-EE12-090FA9EED4B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6D99D2E8-2E58-4D36-9D67-26B1CFBE8E7B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77D03522-A96B-6157-02DF-419A6836668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22FF6056-3942-C57B-E3DC-37C7B07E5E4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A7A9BA3C-B8EC-487E-A598-684371E6B8CC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20C64AA1-3D25-C0E4-A7AE-8D2DA186A26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4DA2074B-7E09-7B53-CD60-4F31B563E3E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5E985494-3997-4FCB-B6D6-2B9914A6D9F4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1FF18C9B-956F-951A-92EE-5AC537EE37E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AAC3E546-576C-E9C2-2C29-A3117B7AB2F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3A861C0-57F5-455F-BDF0-7D2D32892B49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92636952-3952-AAC0-214F-CEC88C4B540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A91A964-7C33-162A-9D89-30EC21A8862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9314EFB4-9A11-42CB-A5E1-654D6FCFDA54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1C97F80E-4A0A-FA07-A3F3-332D14E77A8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9E22F9BF-8EC5-17AA-8F88-E25EA7B4E7B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F723662B-CCAB-4881-9BD4-F688D0B2F256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1B42B76E-1E1A-D353-99D5-254F89D1B11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A003C0A3-B4FD-8F8A-FF5A-C61638C749C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D8151CD4-3857-4FD5-9193-AE0510AF82D4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2B90F1CB-363E-C639-E829-8124DA0EB09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8C0D0C8B-3A21-99B7-8A59-863CCBF9DCE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0A0107-06EF-4038-963B-387FE7928BAD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B3C5748D-4CCC-7635-61D1-241C6A2F192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12EF5CFC-2374-8A29-B304-DEBCCDF3325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0DB3C7CF-B27E-4C90-8FBE-302B51FFC4D8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308D90C-F1B1-54F0-89A7-5D18638C5C0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DE9751E7-7F8C-C13D-8938-84731859537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E3DDC513-3393-49FD-93A1-73319211303E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B6F2D406-44EA-4BF5-E0EA-B6231E777C6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4A917004-4930-6AD1-C41A-B64E73CE809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B895568E-FA5A-4569-A188-F8F66D06AF61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D71A2416-FB84-FC7D-2CCE-DBFE39C28F5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A0B1D732-2C93-A7A5-FC1F-6D2D6FE9DD7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96A6DD3-222A-44AE-985B-0C337BC9B8FC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D953CD5B-5297-A55B-D52A-1BD52D33994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1426A79A-7644-6406-2CBF-6A77BBA3F6E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F1002A0F-B667-406C-B704-96A84DD11E26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D2EF41B-E607-E03D-7773-DBEA3D69FA6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8129212-6E4D-65D1-CA2E-86A8F34358E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26A8097E-9C03-467D-9771-3ED2685CAC86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632C6DB6-08DD-4FDD-5953-5E0078E868C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2C006780-4825-5CA1-5D39-79CD9DE2D24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3BBCC39F-3490-41EB-AD83-22E950167CDC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B6D62B7-8BAA-C179-B3E3-39784684FA3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F24165F2-DE71-38B9-6129-960CC33761B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81BF330-B921-43DB-8C4D-51AAD7AA39C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85D65FE2-2DBC-7DCB-44C9-4AB46AE406A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D7A5DE6-12EA-6652-9E27-8DF2C1D965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9A6E430A-D562-4D3F-8029-641F1DBAD75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1C2B9BCD-F59A-A47C-D0BA-BE41887B236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ECE38411-C583-8697-D6D8-8C5BB075E50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1AE0922D-159C-4094-A980-2DE6E7C68462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8345BC6-49BE-9191-506B-9177464DB4D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8E61A8E3-B448-EF9F-0898-56E2EA69311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F7DF24F1-2AF8-427C-9CB7-0E35B98AE7F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0E72E071-E339-299B-92D7-5CBDEB73A61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EB42A23B-C986-E15E-66FE-788334BD4BD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EF4DDB5-5D7E-471A-B8A1-9A359012528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8621AA04-CD23-3427-B03F-B3826275803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92A9B181-72A2-D164-52F1-B700BA7A5CC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ABC41BF4-6BC7-4B3C-A284-61C6A5A2CC31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62F8F2BA-2902-9B0F-12B1-AC0FFADDE77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481EC5BF-70CA-4F8F-4B00-E3BBAD67B9B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A2EB5ACC-60D2-4EE3-AC75-196A9B7B94A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45F68955-BC92-C1E9-A473-2ADC2F35646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41A41DE6-4BDD-8E8F-ACD7-0A45C9FCC3F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37B10692-ACBB-403D-BE56-D675E0A34611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2B719CEA-EFF7-C744-C02A-F7B4109A496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D06BD9FD-2118-E873-D46A-5F70440A00D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1446254-A6E2-4B21-989E-8ECB57101272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95939D5F-A2B1-5528-F432-2C0A5C637E2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6B7A8BD-C1F8-B213-1657-07E976F649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AE2AC618-5958-4F65-BC29-089864D8F665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CAFBC6F-4804-FBAD-052A-5D588B298B7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2470C4A5-D497-573B-C072-D5B0784ECA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5609E4BA-5954-48D4-8E1F-5611F775084E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7293126-B039-7081-5F95-671A1343457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E26F5374-650C-2806-67DD-B737DC98286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AE5CF5A1-283F-4D71-9A0C-9A0BEC3BD38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B72C2A00-BBD3-8B97-293B-4B2EA32ADA8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2173514-69FD-290F-7B26-E84020D5FBC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1BAB8C5-C4B2-4122-BD16-BDAEAE5FA9C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38D0A9CF-4DAA-0A43-CBDA-EEF76CBA79B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8E21C91B-50FF-46AB-77AC-7810093F119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6990FB1E-A83E-46D1-816B-47A12016E751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EA74046B-7200-60A4-F19D-7CB3AED21EC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2BA71ECA-9608-0AB8-71B4-3C0A260DD4F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73B27DD9-BF6F-4149-8EBC-B5C4AF33141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26818A41-649E-8EE0-A6EF-68D7F850DFB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CB4673FC-EF49-ADD7-113C-3C95F887C03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44E571B6-79C3-4F06-9257-B5CE48966FC8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F4770CE1-E24F-AE94-B31E-88A6585BC88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D52FB8BA-DD04-7ED3-AAA0-647FA86A026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3604E88-5F76-40E0-A594-B41E0FBAB13F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3C2F6D36-A2C5-D47A-590C-0BF10A9C125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C4F3F1C2-7C18-1672-9780-91A291E68F2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B52EFD20-3AFA-41B7-BCEB-7943D4D5245B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C66118E4-4726-43F2-5036-A098E7F906A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F1B490C2-7B0A-F61E-C62C-110DA273486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59F7A53D-8DBD-4889-9316-960980B9E49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B05DC27C-0297-88CB-D0D1-A0AC676B69F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0901B483-D283-BBC4-755A-332E22E1558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1FA3360-7318-4B3B-BA7B-9C21A84FC06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A2DD790-CFBA-F97C-2988-D9D7122313D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B0B3E1E6-5C89-4599-478F-69AB7255D4A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D249964-F724-4687-A4AE-51403DD1D60A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FDA9C0F5-BA14-1EA4-EEFD-9D3C05149FD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679519EE-7608-71D3-A224-7FC28BBF1C5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0C131536-D0A8-4F47-A24D-FECBE0E1636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33A283E0-B04E-0832-E466-F1EDDFF508B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CF0EE589-677C-9F34-7536-AB11BF8E3E8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72AA0C44-29DA-4850-A8C5-44B296DFDF94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1F421B1C-49A5-442C-A315-EABC21D1D00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2DB1CDB9-3F8E-9C03-B4A8-290F7719F2D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F401D932-F92A-41DB-B1DC-AA56BC264C6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38A5E6E1-0D1A-52D6-747A-40C835AEF68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9DBC332E-0474-18CB-A7BF-7C3F8263F30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D9C839E-436F-4B79-A159-0440526A546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B4525F5B-8DC4-70F4-81A7-576B6FD8D93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1062A94-BA9F-239A-00C8-93320D67176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4976C235-E3BD-442B-8302-AC6D98628B1A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09A1D097-1C1C-BD2D-50BF-3917D4398D0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4982EC33-41E3-0703-1040-CDB0F841F0D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224F8A36-0172-4965-9027-9D0EA62C0770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A2436AE4-B71F-AE71-4FA0-46C9B4DAB05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32EC084-5F6A-7EDF-430F-C2DE47A4E03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B8EFF7E2-8306-4DA4-AAAE-713A5F0F3492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2C33BA3F-F857-8B48-A07D-CEAD78743EE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D01AF807-845C-9562-A372-14F1856632E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6BC18E7-EC62-4B41-9D66-E4BE904D30F4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8901DFEE-7FF8-80E4-6C29-8BB6B01AA4A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6C1723E-6236-A6E9-D8D1-CA7E6ABFFC0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4FDB5F00-B8BE-4686-9B0E-7D53A1DB769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AA47AC90-3C3B-A469-7F52-0C293970743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A3F88721-B9E9-EAC5-931F-AF1AF8C34E3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EC5A5E37-676C-468A-A7A1-17B745D83FE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F4FAEB80-EE0F-1CF1-2905-39668170A99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9262BA62-2A7D-B42E-7539-0580F9DE18D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8ACEB46-EAAE-43ED-AA57-93CB9998B846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F7B2ECF-D7BB-1475-FF4C-6B8B5F60F17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12A36709-FAC9-1F4C-AA56-07380D5901A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BF9A1BA-0B95-40D3-B09F-B4B84CD0AE9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F6213996-EBCD-7769-2334-90FF629A920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63E93DBE-F796-E3F0-210F-9F21ED540DF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DAE0A58D-AF44-4271-A127-4A341657E80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9D09337B-9934-4716-0F4C-A6D3F1F0FF5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B651DC97-985F-4636-86B4-D671EE8154E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757B667B-0589-4ED7-BAD0-8ED0D49FD790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DDB3473B-1C95-CB6E-E97A-BE84CBAB7BA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856D9848-BDC3-44B8-7625-E1C314106CD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743D486-4B06-482F-A6AF-74E08B9B2C78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1FFA86D-1064-554A-4EC9-3AA282C164F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496E00AA-7436-5614-31C7-E2734EE0814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A807C-FA09-4F7F-93B4-506ED5C60638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826404A4-CBC6-ADC4-9252-C04B43B7818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940715B6-7556-0A86-7163-BBF628431D6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D5EC3A59-8303-4405-9B5A-B523A0EF4B66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10C7880F-5C23-DDA6-F391-EEEC6527CF1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0B6CA04B-DC80-079A-5B41-D6D5510D909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207045CC-190C-49D0-B7C8-B331E1B2D7BE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B7DAF53D-9C8F-9174-1C2E-D3B33B3A45F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B0C8261D-3565-847D-7AAB-CD187F85350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7E6AE944-3E7C-478F-9DDC-99BDA28CEB0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198DA2C8-ACF1-0282-3B5E-3A0B764F47E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21EF45E-824E-5F51-58A5-50A860E01CD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634EA9-1E96-4E09-A396-4F4D1AE54EE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7DD21DE5-33F5-EF0D-AE33-E8E7FDBA636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360EC95-5D9D-BF5F-48EE-9BC7175A383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63656D91-9C01-4621-80F3-3804F91A5BF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D7D15BC1-D89B-11DC-7D95-610CE6F98BD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B8E2AD95-9FE6-69D1-DB3E-F6CB670CE13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C8C6297F-438F-47C1-BDF4-319849CBD736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18D63E79-CD50-3BAC-7153-FCDC6FB4377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A80E65DB-1D6E-A169-CE29-2D8F56272A0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D7E347FA-7B8E-4BD3-8993-0E30D950B458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0A48F1A7-E0A0-EB85-9120-F092E3BA2DD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53736877-3281-D27E-A4D0-6B4BDFC5DB5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52F8908-061C-4AFE-B806-82A22E718213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626CB61C-86AC-45F6-5A44-C8F801E9BE3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77775AEC-C369-A69A-E8D1-F7D360DCBFF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87A4A9BD-82A9-48F2-A53E-618693280BD8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FD812388-DD09-403F-8FD7-4091989149B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97ABA243-3795-E363-EC5B-920A37919B7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03BB9D85-94CA-4DE0-B0CA-5655520B1117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6B9837C4-0C9B-8D21-3C4F-478EDCB2E56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2EB4E997-E511-EB36-70C1-8B58724CB72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B8449BB7-DE1F-442C-84B8-9FE33419C87E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F5E1BAB0-0A92-558B-DC81-9DA9CD351A3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6BEAE807-BE88-23D8-3B7A-B57361CF968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393BC9C-2AE8-44FD-A020-9809760053E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5C9CACE0-1C91-6298-4D9F-F64C339EFCC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7E358E30-6EAC-EB8D-4688-81F9EA8AEDB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6248F085-53E2-4F3F-91C0-F5ABDD0E89C5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A4DE2A3D-8349-DB2E-8307-8FA38EA92FA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23D210EB-196B-6F9C-9A0D-CB1FC27F166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A2438805-22DF-406A-87ED-844920514BB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10EB603F-D5BE-C5E1-3379-627390DBE4F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6CA9FC84-4AD1-0F58-E5E8-9B825FAE356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0C5ECAE-4196-426B-818F-BAC17E178779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EBFCFCA-1466-8CB5-E189-94D7462A23C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EA0BD51F-6C73-763F-19FB-6481AE1B358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744ED98-AAC8-49BF-A620-FE66B8301E47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77B5B89-1213-7C12-939B-ECE6A3D71E8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C2B70B83-56E8-6FE5-DA6B-5A30E327EFD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3C7BF214-2887-4A3B-A345-464FB7449DD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551C198-53A0-3B9D-C84A-D48230C3289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0F2C8952-4233-A39C-CA45-304E3D05B12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3634DF4F-5DB9-49C7-A848-1C46E7173D0A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5EF9674A-18CD-4C7A-069B-D81161ADD2C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FC607950-77A5-BB68-E0C6-C50BBB36187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44FB777E-5A87-46CC-9D3F-AF2DCDE9CF0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A84C18C0-15EC-0FD7-DE83-4FF6273A38F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A7FAC210-7C5E-CF76-484E-A0A35960E51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356DF4A-EAF1-4DDA-8517-A7D98646F4A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FDFC6F9B-C456-21C4-06B4-7346CA85A8A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9B3E55BB-E6E4-1A98-9364-828A006961C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BA8FF432-3C70-4891-AD3D-CF0E360B904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6FCD1A0C-92BE-4563-B986-B1929AF3DA0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E85F0840-57CF-DFFA-7363-AD7219DEDF4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7D0ED204-A6C6-4D01-BD97-7A8E41D2258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762A9D82-9F04-4D66-F44A-A0CE25C1323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759F8B63-1645-30DA-22E3-4EB0F31428C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E7198E7-E4F0-4514-8421-154F94D53008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36C8986F-CC68-A699-4B4E-89448768BE9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84111E25-A896-B58D-3361-DAEE323DADC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14A277B-267F-470B-99EF-17C3AE4AF4D2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2201FD28-7D84-7603-7537-B6B83A9C34B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95D5E8A-CBE9-06F7-6E92-5B9F5C80752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2EA2608B-8467-431D-9856-8867F8E27EE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3F711A1A-4E6C-85F3-C6EE-35CF95430F8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A96293D-5DBA-3A6F-B025-0AD5090AF2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30309321-CCB1-4E1E-9090-47DCA3DB6730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A7084FD-DCE6-F015-4501-1C4295C5E7A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6E93C698-A6F0-4840-0F0B-3A6A910EBAF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BCAA6304-6FFC-47DB-9818-3FFBAB2AB98E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14A523F2-54C9-4917-8EEF-BA519926A3C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01015AB-AE3A-DDFC-E979-677427E77DD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4161034-1512-42B8-B96B-38496B3DF366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F382BAF3-DE48-2267-9550-EAD3D6A75EB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65F33EB-F465-2EF8-3E0C-623CC33CD75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0FC84842-D055-4EDC-AB7A-BFB8DBC6C65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C75E4AAC-59C8-1F23-D160-89835E20CC4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96FE56E-50D9-4CF5-9BF5-61796F8A9E8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F078E1DA-4426-4E69-B0A2-3A7B7CA765C1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B9E9CBEC-43C7-72CF-61B4-CA72F5E252C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C8165186-A6B8-0AAE-74FD-CDB38B6AE25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445191EA-7A4C-4FDF-BC41-876BEDF2E2E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7CB3E56-3F6B-1B36-453A-3A49216B901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506FE9B-622B-DD5E-006D-508EE413B1D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1C05FD7-BC90-44BC-B8AC-E4CA03283B44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40B32CEC-DD30-4C30-EF03-7FF7419808D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64ECBE94-552A-754F-6BBD-E726194542F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0E934FB5-66D7-46E5-A216-51E09D202655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F0EE630-CD35-361E-7C47-F2A64F3FB37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A74E24C6-A583-77F4-0541-D8F74BA8F11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B2365CCD-2FDD-438D-857A-63D7E2634710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4BD61993-A622-6912-6BBF-99C1FA2360E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6277F3BF-9413-CC09-E40A-5F0999A01C6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4E6F024A-F798-4CAA-B914-37D693783C9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61FE1644-1747-3CEC-6CEF-1A1969A1989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96BAE025-0B99-A0F3-08EE-16314B95FAD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C001767-6526-4775-8513-5C9AD0B1E1D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A464E9F-0CD7-CAA1-C888-F3FCF4EA662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F067721D-6F73-F58F-D980-C56DAD7557C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E6A7A60F-E5CE-4A26-A0A6-3FA012F8776B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322930ED-C687-C308-7A8C-16C8CF497FA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CFF6EE4F-93AB-5180-20A9-DC9D1E845C2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4B4D462-F5AD-462C-842C-A609371AC0FD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050CA048-D3A0-AF71-60CC-7AA7A476F20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6BDB7B51-4A53-487E-FFC1-4E354A301A0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D708A2E1-78A8-4206-8AE4-59E9B9D4CE8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42AA85EC-F2F1-4668-8788-F232F7FBD8F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60481556-DE3A-F186-820B-08D4D9F4990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FE53B5A-C602-4DEB-A396-23EC0ADA8F7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4570F180-E5E2-74CA-80B3-7BF895F2171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D52F535C-B8B3-988C-3B4E-CEAD4479E20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BA283E37-B119-43A8-A611-D35F3C3244F9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DB23D77-CC4C-50B0-483A-D079C3624B8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A1293AA-76B1-685B-34D8-8461A1F7C50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A20F8D44-7261-463A-8AF7-4E72C186551A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280CD280-8036-76C6-C6F5-F7BF1167E1F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731BF562-EABF-E9A1-F307-867D2B11BEF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F915CC02-C4B3-47C1-9CC2-73D94BDB68A2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2342406D-871A-45EA-B7E1-5FBFA58D042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2F84C59D-7B0C-8E89-7134-B4FF234103C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99F0A8D-F299-4CC7-9953-AD3546EBA748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3114C51B-8F5D-B883-7055-0E4BF1C6E76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658B07D5-BFE8-1942-B645-6EDC23346C1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8282454D-7C00-4702-BC86-933FD58DB3D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70B0254-961A-1E93-D65D-CF003670B2C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C0021D90-0C6F-6D89-E7BA-BE3895D8B42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FB31F115-680A-4A87-A11E-4405238FDE5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7FA55C36-9381-55B2-C71E-EEA085E3846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403D3CB5-DAA4-FA29-29BF-0DDEE6358A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069B5A5E-8FEE-4362-AE23-E665BFA4DD89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7248328-4D24-6AB0-2253-E6A8C1C6F3C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AD9CDD23-C6A0-9BCB-37A7-01D6C03CD2F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27A566F-587F-46E9-B027-9A35F244375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B908B208-B190-86B8-4DCD-2C6729BFD57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C8AA0543-C326-D316-833F-E5384952AC5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C2CF0FB6-D33D-40DA-B487-EA10119F95D6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BC7CA58A-805A-C0CB-6F60-C81F349BA5D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32125823-1576-5CB1-A992-E2832E305E9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6FE77EA5-78F7-4C26-8A82-8D4530046812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B962A07C-F6EB-E4C6-E872-2E57AE01891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918B7FBD-F605-9BA8-502E-3DF080AD06F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8ECA1D24-ABE6-46B4-BC3B-07CC3BA68E6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D6220F62-94F5-4D1F-78EA-4A8E5166D6E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FB7FCDAD-099E-B9F6-3EF5-C236ABEAE16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B7D3174-049E-47ED-AE92-1271E97A7557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B124C2B-B03B-7789-8C27-B49E742C8D3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43AC892-25DC-A0D7-ACE7-5115C22423D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8125D140-01C5-402B-9B39-E3A5D436819B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A41AC21-73D0-2655-8612-E891FF76CF8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00E3FE93-91EA-E52C-B5AA-04DBBA17249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14869B74-E06A-471E-8EA4-37D541189DBD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4C7309E6-DE80-C478-FC08-298F1BC6173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3FA193B-D8AA-543B-76A5-F6A2F83F6FC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E676207-4BE5-4D3F-A0A6-67D77B75CF41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A764FF1-0281-B728-7481-DDDEBEE750D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9E8D7690-94F3-F0B8-2B0D-8229B2145A9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E9A8A1F-5570-4C5F-9110-04F957257E6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D1368D78-A719-C878-84DF-EDC4F28BDCA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9166D5-092F-499F-A07D-A85937C9B39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FFBD06F8-5091-465C-B371-60FB52273912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16DB23ED-18CF-459F-A133-1B378AE9A32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C851EAD4-7B2B-4D5C-E0BB-B9A01E3FB64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D332E63E-BA8A-4CDA-BD45-20AFEB6BCE9A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4F85EEC-6392-9056-77BA-1FB66ABD8BA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8BD70CFD-2FC6-4960-BC21-21D703DD48A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3B42899-5DF9-440C-A521-2896A6FF19B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F3ED2AC-F40E-0691-BE13-F709A01F193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677D1874-2807-D1EB-31B7-B12F14067E6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4F50AF-90B9-452F-B752-8BEF5A9CE296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04898728-E641-C84C-73B7-9E0B024F072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EBBF5679-4639-2887-C06F-3C266852F3F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3324128D-7608-4A95-896C-2B19B605738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2111DD40-137B-D3A0-BB5F-8A5219A3489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1BBC3C03-66FE-E716-352F-1EAE1286594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65C9BE77-07AB-48B6-BDFB-865AACD205D8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24EC647-2FBA-839F-A3D9-1794820B227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823966F-24A8-1409-A6CB-73C41617F6E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A3F04836-7640-4087-A2BE-3C542401B75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84FA9F0D-4AF1-3DFD-C6C7-41BDB3A28D0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990CA577-C404-0409-5810-ADCCF8E7F60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177A7E8-504A-4349-B963-5D155FDFBDC7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00F1408A-750C-4C85-BCC6-21F3FE423E0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73DBFAB-8F39-E368-E5FF-0519ACF8EA6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5A9EC09D-B575-4AE9-9F85-2CDE760E0FCC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0F826499-3CF9-8374-77DA-35225630B66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D43C438D-F097-B07E-F012-7DBA146A3A8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32F9DBDB-CDAF-4203-9481-13E1289096E8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57602882-E45C-F28F-D39C-135E219159A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5F673CB-9771-80DA-630E-22B5BC7531A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4E672EC-1F5D-4438-8363-6D41C7DDAA1F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59BF1694-5B2B-9B53-F170-90D7F8CD562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39B01C21-3095-0E82-60A6-FFCF878C948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42D584-2755-47AF-84CB-B3747D3203D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1EB3F59-F7E3-93B2-B4A6-E3B9FDCAADF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91A2E3DB-FAD4-153B-C3FD-04E1DACD725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78371D73-25C3-4609-9DD3-FE6A1D140B59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A167190D-1E6F-769F-2795-93B96A0BBFB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18CF0C44-7060-6F9A-8A71-3379F52B7F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E12FBB10-B474-4D58-A174-F525B9B907C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874CD1F3-D79C-B78B-8D40-EC2DBD7D053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8D8CB384-1CB6-FDC3-8C8A-4E0AF5992C2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099A77EB-6D91-4BC0-ABC5-9E1D72D6E3E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D94403B3-809D-32F8-46DA-70B4631E1F6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045441D0-8F63-610E-68DD-0BF9B5236D2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182F17-3881-45CB-9EAB-52AB85A7DD0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5F1A212D-685C-291D-E835-B768DD5579F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70F22C13-449F-F610-2199-28356165D03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2662452B-7EC9-486A-B135-C7405E900E65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73A5F0C-1224-6B61-D4CB-591A4FA79DA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43165E30-BFE6-6A54-362E-E29C1C85465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B08A0E3F-571A-4AD6-8E3C-3C35920FCC06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EE6F6571-C2BF-FDAA-E010-47ADC6002C6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028B936C-AD22-B6F9-3354-D22DEE16465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ADA3F5D3-6400-4F19-86EC-08F304A3C5B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342000CB-7E27-F637-F32B-90B6DE872EB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D5780E8A-76A6-6E7B-9026-308021855CB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071422E-0E36-4E93-B90F-40F4E2EF3E5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4C372A9E-77C0-EA14-C559-BA039360064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8F33BFE3-3874-388D-41EF-312AD4CF626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09B3809A-D3BA-4B34-B460-820DFDBCE41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73306C7-5E59-A246-0A2A-47DA80DB74E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DF8BCA0A-903A-5032-EC60-FC387306B04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7FE2C03-56F3-4470-AF5D-EC9067419B8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E29C1B1A-E163-8F4A-0550-A0FF27073BA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158707F3-521E-DCE4-418B-881883BE7DA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EF3B9F6-432A-45EC-953D-92B52FAEDCD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943ED67-3DF1-D217-1E11-1A7537D3FDD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E1E5CC71-A88C-78C4-DA2A-E793851880C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201977-B8D9-4F2D-AF25-8FB25CA97A6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D07C8968-DC21-BE17-1B35-62EEE1C203D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DEE3C697-A1D1-7A14-A5C1-AEE486283B1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A548164A-6EFD-4C4F-BC11-4C8DF1B3071B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B3E5C1F6-58FD-9C59-DD5D-F22419DE6DE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FEEC20F7-D99B-F71F-67DE-E1C0AC79F24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05F6F7B0-9912-497F-BAE0-17CF78A24231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8EFED8D2-1BF4-07CD-71D8-B1D86E05421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3424C380-4C91-96A6-967C-8491D303B24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최해인" id="{0F64E5C6-408C-4201-B59A-09D6F1F68E6E}" userId="S::haeinchoi@hansoliones.com::43e61ae2-73e5-4784-abbe-8383fc79ec8c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43" dT="2026-03-17T09:59:03.84" personId="{0F64E5C6-408C-4201-B59A-09D6F1F68E6E}" id="{08F0DFF2-8DBC-4A88-AF25-22910D619C3A}">
    <text>PN Conversion
0247-08710-&gt;0247-09881</text>
  </threadedComment>
  <threadedComment ref="H46" dT="2026-03-17T09:59:03.84" personId="{0F64E5C6-408C-4201-B59A-09D6F1F68E6E}" id="{FF3DC0EB-3489-4856-A8FA-B2BA5D34F17E}">
    <text>PN Conversion
0247-08710-&gt;0247-09881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86"/>
  <sheetViews>
    <sheetView zoomScaleNormal="100" workbookViewId="0">
      <pane xSplit="17088" topLeftCell="AC1"/>
      <selection activeCell="R11" sqref="R11"/>
      <selection pane="topRight" activeCell="R11" sqref="R11"/>
    </sheetView>
  </sheetViews>
  <sheetFormatPr defaultColWidth="8.59765625" defaultRowHeight="17.399999999999999" x14ac:dyDescent="0.4"/>
  <cols>
    <col min="1" max="1" width="6.5" style="83" bestFit="1" customWidth="1"/>
    <col min="2" max="2" width="10.19921875" style="83" bestFit="1" customWidth="1"/>
    <col min="3" max="3" width="4.69921875" style="83" bestFit="1" customWidth="1"/>
    <col min="4" max="4" width="11.19921875" style="83" bestFit="1" customWidth="1"/>
    <col min="5" max="5" width="9" style="83" bestFit="1" customWidth="1"/>
    <col min="6" max="6" width="10.5" style="83" bestFit="1" customWidth="1"/>
    <col min="7" max="7" width="11.59765625" style="83" bestFit="1" customWidth="1"/>
    <col min="8" max="8" width="18.09765625" style="83" customWidth="1"/>
    <col min="9" max="9" width="11.09765625" style="83" customWidth="1"/>
    <col min="10" max="10" width="34.8984375" style="83" customWidth="1"/>
    <col min="11" max="11" width="7.19921875" style="83" customWidth="1"/>
    <col min="12" max="12" width="8.59765625" style="83" hidden="1" customWidth="1"/>
    <col min="13" max="21" width="8.59765625" style="83"/>
    <col min="22" max="25" width="0" style="83" hidden="1" customWidth="1"/>
    <col min="26" max="26" width="10.8984375" style="83" bestFit="1" customWidth="1"/>
    <col min="27" max="27" width="7.5" style="86" bestFit="1" customWidth="1"/>
    <col min="28" max="28" width="12.09765625" style="86" bestFit="1" customWidth="1"/>
    <col min="29" max="29" width="11.19921875" style="87" bestFit="1" customWidth="1"/>
    <col min="30" max="30" width="14.3984375" style="87" bestFit="1" customWidth="1"/>
    <col min="31" max="31" width="12.19921875" style="87" bestFit="1" customWidth="1"/>
    <col min="32" max="32" width="17.69921875" style="83" bestFit="1" customWidth="1"/>
    <col min="33" max="16384" width="8.59765625" style="83"/>
  </cols>
  <sheetData>
    <row r="1" spans="1:32" ht="34.799999999999997" x14ac:dyDescent="0.4">
      <c r="A1" s="88" t="s">
        <v>38</v>
      </c>
      <c r="B1" s="89" t="s">
        <v>39</v>
      </c>
      <c r="C1" s="89" t="s">
        <v>40</v>
      </c>
      <c r="D1" s="89" t="s">
        <v>41</v>
      </c>
      <c r="E1" s="90" t="s">
        <v>42</v>
      </c>
      <c r="F1" s="90" t="s">
        <v>43</v>
      </c>
      <c r="G1" s="88" t="s">
        <v>32</v>
      </c>
      <c r="H1" s="91" t="s">
        <v>44</v>
      </c>
      <c r="I1" s="88" t="s">
        <v>45</v>
      </c>
      <c r="J1" s="97" t="s">
        <v>52</v>
      </c>
      <c r="Z1" s="95">
        <v>1511.26</v>
      </c>
      <c r="AA1" s="84">
        <v>39</v>
      </c>
      <c r="AB1" s="84" t="s">
        <v>47</v>
      </c>
      <c r="AC1" s="84" t="s">
        <v>43</v>
      </c>
      <c r="AD1" s="96" t="s">
        <v>45</v>
      </c>
      <c r="AE1" s="84" t="s">
        <v>32</v>
      </c>
      <c r="AF1" s="85">
        <v>46212</v>
      </c>
    </row>
    <row r="2" spans="1:32" x14ac:dyDescent="0.4">
      <c r="A2" s="111">
        <v>17916</v>
      </c>
      <c r="B2" s="111" t="s">
        <v>53</v>
      </c>
      <c r="C2" s="111" t="s">
        <v>69</v>
      </c>
      <c r="D2" s="111"/>
      <c r="E2" s="111" t="s">
        <v>63</v>
      </c>
      <c r="F2" s="111">
        <v>221930105</v>
      </c>
      <c r="G2" s="111">
        <v>4522449554</v>
      </c>
      <c r="H2" s="112" t="s">
        <v>62</v>
      </c>
      <c r="I2" s="102">
        <v>824.43000000000006</v>
      </c>
      <c r="J2" s="104"/>
      <c r="AA2" s="84">
        <f t="shared" ref="AA2:AA24" si="0">IF(A2=0,"",A2)</f>
        <v>17916</v>
      </c>
      <c r="AB2" s="84" t="str">
        <f t="shared" ref="AB2:AC21" si="1">IF($AA2="","",HLOOKUP(AB$1,$A:$Z,ROW($AA2),FALSE))</f>
        <v>0247-10518</v>
      </c>
      <c r="AC2" s="84">
        <f t="shared" si="1"/>
        <v>221930105</v>
      </c>
      <c r="AD2" s="107">
        <v>1245900</v>
      </c>
      <c r="AE2" s="103">
        <f t="shared" ref="AE2:AE33" si="2">IF($AA2="","",HLOOKUP(AE$1,$A:$Z,ROW($AA2),FALSE))</f>
        <v>4522449554</v>
      </c>
    </row>
    <row r="3" spans="1:32" x14ac:dyDescent="0.4">
      <c r="A3" s="111">
        <v>17917</v>
      </c>
      <c r="B3" s="111" t="s">
        <v>53</v>
      </c>
      <c r="C3" s="111" t="s">
        <v>60</v>
      </c>
      <c r="D3" s="111"/>
      <c r="E3" s="111" t="s">
        <v>61</v>
      </c>
      <c r="F3" s="115">
        <v>133030926</v>
      </c>
      <c r="G3" s="111">
        <v>4522449547</v>
      </c>
      <c r="H3" s="112" t="s">
        <v>62</v>
      </c>
      <c r="I3" s="102">
        <v>2689.43</v>
      </c>
      <c r="J3" s="104"/>
      <c r="AA3" s="84">
        <f t="shared" si="0"/>
        <v>17917</v>
      </c>
      <c r="AB3" s="84" t="str">
        <f t="shared" si="1"/>
        <v>0247-10518</v>
      </c>
      <c r="AC3" s="84">
        <f t="shared" si="1"/>
        <v>133030926</v>
      </c>
      <c r="AD3" s="107">
        <v>4064400</v>
      </c>
      <c r="AE3" s="103">
        <f t="shared" si="2"/>
        <v>4522449547</v>
      </c>
    </row>
    <row r="4" spans="1:32" x14ac:dyDescent="0.4">
      <c r="A4" s="111">
        <v>17918</v>
      </c>
      <c r="B4" s="111" t="s">
        <v>53</v>
      </c>
      <c r="C4" s="111" t="s">
        <v>60</v>
      </c>
      <c r="D4" s="111"/>
      <c r="E4" s="111" t="s">
        <v>61</v>
      </c>
      <c r="F4" s="115">
        <v>225381414</v>
      </c>
      <c r="G4" s="111">
        <v>4522449557</v>
      </c>
      <c r="H4" s="112" t="s">
        <v>62</v>
      </c>
      <c r="I4" s="102">
        <v>824.43000000000006</v>
      </c>
      <c r="J4" s="104"/>
      <c r="AA4" s="84">
        <f t="shared" si="0"/>
        <v>17918</v>
      </c>
      <c r="AB4" s="84" t="str">
        <f t="shared" si="1"/>
        <v>0247-10518</v>
      </c>
      <c r="AC4" s="84">
        <f t="shared" si="1"/>
        <v>225381414</v>
      </c>
      <c r="AD4" s="107">
        <v>1245900</v>
      </c>
      <c r="AE4" s="103">
        <f t="shared" si="2"/>
        <v>4522449557</v>
      </c>
      <c r="AF4" s="113"/>
    </row>
    <row r="5" spans="1:32" x14ac:dyDescent="0.4">
      <c r="A5" s="111">
        <v>17919</v>
      </c>
      <c r="B5" s="111" t="s">
        <v>53</v>
      </c>
      <c r="C5" s="111" t="s">
        <v>60</v>
      </c>
      <c r="D5" s="111"/>
      <c r="E5" s="111" t="s">
        <v>61</v>
      </c>
      <c r="F5" s="115">
        <v>220511511</v>
      </c>
      <c r="G5" s="111">
        <v>4522449544</v>
      </c>
      <c r="H5" s="112" t="s">
        <v>62</v>
      </c>
      <c r="I5" s="102">
        <v>824.43000000000006</v>
      </c>
      <c r="J5" s="104"/>
      <c r="AA5" s="84">
        <f t="shared" si="0"/>
        <v>17919</v>
      </c>
      <c r="AB5" s="84" t="str">
        <f t="shared" si="1"/>
        <v>0247-10518</v>
      </c>
      <c r="AC5" s="84">
        <f t="shared" si="1"/>
        <v>220511511</v>
      </c>
      <c r="AD5" s="107">
        <v>1245900</v>
      </c>
      <c r="AE5" s="103">
        <f t="shared" si="2"/>
        <v>4522449544</v>
      </c>
      <c r="AF5" s="108" t="s">
        <v>51</v>
      </c>
    </row>
    <row r="6" spans="1:32" x14ac:dyDescent="0.4">
      <c r="A6" s="111">
        <v>17920</v>
      </c>
      <c r="B6" s="111" t="s">
        <v>53</v>
      </c>
      <c r="C6" s="111" t="s">
        <v>69</v>
      </c>
      <c r="D6" s="111"/>
      <c r="E6" s="111" t="s">
        <v>63</v>
      </c>
      <c r="F6" s="115">
        <v>221930109</v>
      </c>
      <c r="G6" s="111">
        <v>4522449556</v>
      </c>
      <c r="H6" s="112" t="s">
        <v>62</v>
      </c>
      <c r="I6" s="102">
        <v>714.43000000000006</v>
      </c>
      <c r="J6" s="97"/>
      <c r="AA6" s="84">
        <f t="shared" si="0"/>
        <v>17920</v>
      </c>
      <c r="AB6" s="84" t="str">
        <f t="shared" si="1"/>
        <v>0247-10518</v>
      </c>
      <c r="AC6" s="84">
        <f t="shared" si="1"/>
        <v>221930109</v>
      </c>
      <c r="AD6" s="107">
        <v>1079700</v>
      </c>
      <c r="AE6" s="103">
        <f t="shared" si="2"/>
        <v>4522449556</v>
      </c>
      <c r="AF6" s="109"/>
    </row>
    <row r="7" spans="1:32" x14ac:dyDescent="0.4">
      <c r="A7" s="111">
        <v>17921</v>
      </c>
      <c r="B7" s="111" t="s">
        <v>53</v>
      </c>
      <c r="C7" s="111" t="s">
        <v>60</v>
      </c>
      <c r="D7" s="111"/>
      <c r="E7" s="111" t="s">
        <v>61</v>
      </c>
      <c r="F7" s="111">
        <v>219351904</v>
      </c>
      <c r="G7" s="111">
        <v>4522449549</v>
      </c>
      <c r="H7" s="112" t="s">
        <v>62</v>
      </c>
      <c r="I7" s="102">
        <v>1461.43</v>
      </c>
      <c r="J7" s="97"/>
      <c r="AA7" s="84">
        <f t="shared" si="0"/>
        <v>17921</v>
      </c>
      <c r="AB7" s="84" t="str">
        <f t="shared" si="1"/>
        <v>0247-10518</v>
      </c>
      <c r="AC7" s="84">
        <f t="shared" si="1"/>
        <v>219351904</v>
      </c>
      <c r="AD7" s="107">
        <v>2208600</v>
      </c>
      <c r="AE7" s="103">
        <f t="shared" si="2"/>
        <v>4522449549</v>
      </c>
    </row>
    <row r="8" spans="1:32" x14ac:dyDescent="0.4">
      <c r="A8" s="111">
        <v>17923</v>
      </c>
      <c r="B8" s="111" t="s">
        <v>53</v>
      </c>
      <c r="C8" s="111" t="s">
        <v>60</v>
      </c>
      <c r="D8" s="111"/>
      <c r="E8" s="111" t="s">
        <v>61</v>
      </c>
      <c r="F8" s="115">
        <v>217959511</v>
      </c>
      <c r="G8" s="111">
        <v>4522449546</v>
      </c>
      <c r="H8" s="112" t="s">
        <v>62</v>
      </c>
      <c r="I8" s="102">
        <v>824.43000000000006</v>
      </c>
      <c r="J8" s="104"/>
      <c r="AA8" s="84">
        <f t="shared" si="0"/>
        <v>17923</v>
      </c>
      <c r="AB8" s="84" t="str">
        <f t="shared" si="1"/>
        <v>0247-10518</v>
      </c>
      <c r="AC8" s="84">
        <f t="shared" si="1"/>
        <v>217959511</v>
      </c>
      <c r="AD8" s="107">
        <v>1245900</v>
      </c>
      <c r="AE8" s="103">
        <f t="shared" si="2"/>
        <v>4522449546</v>
      </c>
    </row>
    <row r="9" spans="1:32" x14ac:dyDescent="0.4">
      <c r="A9" s="111">
        <v>17961</v>
      </c>
      <c r="B9" s="111" t="s">
        <v>53</v>
      </c>
      <c r="C9" s="111" t="s">
        <v>60</v>
      </c>
      <c r="D9" s="111"/>
      <c r="E9" s="111" t="s">
        <v>61</v>
      </c>
      <c r="F9" s="111">
        <v>217227702</v>
      </c>
      <c r="G9" s="111">
        <v>4522459401</v>
      </c>
      <c r="H9" s="112" t="s">
        <v>62</v>
      </c>
      <c r="I9" s="102">
        <v>824.43000000000006</v>
      </c>
      <c r="J9" s="104"/>
      <c r="AA9" s="84">
        <f t="shared" si="0"/>
        <v>17961</v>
      </c>
      <c r="AB9" s="84" t="str">
        <f t="shared" si="1"/>
        <v>0247-10518</v>
      </c>
      <c r="AC9" s="84">
        <f t="shared" si="1"/>
        <v>217227702</v>
      </c>
      <c r="AD9" s="107">
        <v>1245900</v>
      </c>
      <c r="AE9" s="103">
        <f t="shared" si="2"/>
        <v>4522459401</v>
      </c>
    </row>
    <row r="10" spans="1:32" x14ac:dyDescent="0.4">
      <c r="A10" s="111">
        <v>17962</v>
      </c>
      <c r="B10" s="111" t="s">
        <v>53</v>
      </c>
      <c r="C10" s="111" t="s">
        <v>70</v>
      </c>
      <c r="D10" s="111">
        <v>3030065165</v>
      </c>
      <c r="E10" s="111" t="s">
        <v>71</v>
      </c>
      <c r="F10" s="111">
        <v>196455922</v>
      </c>
      <c r="G10" s="111">
        <v>4522459389</v>
      </c>
      <c r="H10" s="112" t="s">
        <v>72</v>
      </c>
      <c r="I10" s="102">
        <v>824.43000000000006</v>
      </c>
      <c r="J10" s="104"/>
      <c r="AA10" s="84">
        <f t="shared" si="0"/>
        <v>17962</v>
      </c>
      <c r="AB10" s="84" t="str">
        <f t="shared" si="1"/>
        <v>0247-08435</v>
      </c>
      <c r="AC10" s="84">
        <f t="shared" si="1"/>
        <v>196455922</v>
      </c>
      <c r="AD10" s="107">
        <v>1245900</v>
      </c>
      <c r="AE10" s="103">
        <f t="shared" si="2"/>
        <v>4522459389</v>
      </c>
    </row>
    <row r="11" spans="1:32" x14ac:dyDescent="0.4">
      <c r="A11" s="111">
        <v>18034</v>
      </c>
      <c r="B11" s="111" t="s">
        <v>53</v>
      </c>
      <c r="C11" s="111" t="s">
        <v>73</v>
      </c>
      <c r="D11" s="111"/>
      <c r="E11" s="111" t="s">
        <v>55</v>
      </c>
      <c r="F11" s="111">
        <v>171156009</v>
      </c>
      <c r="G11" s="111">
        <v>4522520232</v>
      </c>
      <c r="H11" s="112" t="s">
        <v>56</v>
      </c>
      <c r="I11" s="102">
        <v>824.43000000000006</v>
      </c>
      <c r="J11" s="97"/>
      <c r="AA11" s="84">
        <f t="shared" si="0"/>
        <v>18034</v>
      </c>
      <c r="AB11" s="84" t="str">
        <f t="shared" si="1"/>
        <v>0247-06824</v>
      </c>
      <c r="AC11" s="84">
        <f t="shared" si="1"/>
        <v>171156009</v>
      </c>
      <c r="AD11" s="107">
        <v>1245900</v>
      </c>
      <c r="AE11" s="103">
        <f t="shared" si="2"/>
        <v>4522520232</v>
      </c>
    </row>
    <row r="12" spans="1:32" x14ac:dyDescent="0.4">
      <c r="A12" s="111">
        <v>18035</v>
      </c>
      <c r="B12" s="111" t="s">
        <v>53</v>
      </c>
      <c r="C12" s="111" t="s">
        <v>73</v>
      </c>
      <c r="D12" s="111"/>
      <c r="E12" s="111" t="s">
        <v>55</v>
      </c>
      <c r="F12" s="111">
        <v>168846624</v>
      </c>
      <c r="G12" s="111">
        <v>4522520207</v>
      </c>
      <c r="H12" s="112" t="s">
        <v>56</v>
      </c>
      <c r="I12" s="102">
        <v>824.43000000000006</v>
      </c>
      <c r="J12" s="97"/>
      <c r="AA12" s="84">
        <f t="shared" si="0"/>
        <v>18035</v>
      </c>
      <c r="AB12" s="84" t="str">
        <f t="shared" si="1"/>
        <v>0247-06824</v>
      </c>
      <c r="AC12" s="84">
        <f t="shared" si="1"/>
        <v>168846624</v>
      </c>
      <c r="AD12" s="107">
        <v>1245900</v>
      </c>
      <c r="AE12" s="103">
        <f t="shared" si="2"/>
        <v>4522520207</v>
      </c>
    </row>
    <row r="13" spans="1:32" x14ac:dyDescent="0.4">
      <c r="A13" s="111">
        <v>18038</v>
      </c>
      <c r="B13" s="111" t="s">
        <v>53</v>
      </c>
      <c r="C13" s="111" t="s">
        <v>54</v>
      </c>
      <c r="D13" s="111"/>
      <c r="E13" s="111" t="s">
        <v>55</v>
      </c>
      <c r="F13" s="111">
        <v>173426301</v>
      </c>
      <c r="G13" s="111">
        <v>4522520209</v>
      </c>
      <c r="H13" s="112" t="s">
        <v>56</v>
      </c>
      <c r="I13" s="102">
        <v>824.43000000000006</v>
      </c>
      <c r="J13" s="97"/>
      <c r="AA13" s="84">
        <f t="shared" si="0"/>
        <v>18038</v>
      </c>
      <c r="AB13" s="84" t="str">
        <f t="shared" si="1"/>
        <v>0247-06824</v>
      </c>
      <c r="AC13" s="84">
        <f t="shared" si="1"/>
        <v>173426301</v>
      </c>
      <c r="AD13" s="107">
        <v>1245900</v>
      </c>
      <c r="AE13" s="103">
        <f t="shared" si="2"/>
        <v>4522520209</v>
      </c>
    </row>
    <row r="14" spans="1:32" x14ac:dyDescent="0.4">
      <c r="A14" s="111">
        <v>18075</v>
      </c>
      <c r="B14" s="111" t="s">
        <v>53</v>
      </c>
      <c r="C14" s="111" t="s">
        <v>59</v>
      </c>
      <c r="D14" s="111"/>
      <c r="E14" s="111" t="s">
        <v>63</v>
      </c>
      <c r="F14" s="111">
        <v>217959512</v>
      </c>
      <c r="G14" s="111">
        <v>4522546968</v>
      </c>
      <c r="H14" s="112" t="s">
        <v>74</v>
      </c>
      <c r="I14" s="102">
        <v>824.43000000000006</v>
      </c>
      <c r="J14" s="104"/>
      <c r="AA14" s="84">
        <f t="shared" si="0"/>
        <v>18075</v>
      </c>
      <c r="AB14" s="84" t="str">
        <f t="shared" si="1"/>
        <v>0247-10518</v>
      </c>
      <c r="AC14" s="84">
        <f t="shared" si="1"/>
        <v>217959512</v>
      </c>
      <c r="AD14" s="107">
        <v>1245900</v>
      </c>
      <c r="AE14" s="103">
        <f t="shared" si="2"/>
        <v>4522546968</v>
      </c>
    </row>
    <row r="15" spans="1:32" x14ac:dyDescent="0.4">
      <c r="A15" s="111">
        <v>18076</v>
      </c>
      <c r="B15" s="111" t="s">
        <v>53</v>
      </c>
      <c r="C15" s="111" t="s">
        <v>59</v>
      </c>
      <c r="D15" s="111"/>
      <c r="E15" s="111" t="s">
        <v>63</v>
      </c>
      <c r="F15" s="111">
        <v>219352809</v>
      </c>
      <c r="G15" s="111">
        <v>4522546967</v>
      </c>
      <c r="H15" s="112" t="s">
        <v>74</v>
      </c>
      <c r="I15" s="102">
        <v>824.43000000000006</v>
      </c>
      <c r="J15" s="104"/>
      <c r="AA15" s="84">
        <f t="shared" si="0"/>
        <v>18076</v>
      </c>
      <c r="AB15" s="84" t="str">
        <f t="shared" si="1"/>
        <v>0247-10518</v>
      </c>
      <c r="AC15" s="84">
        <f t="shared" si="1"/>
        <v>219352809</v>
      </c>
      <c r="AD15" s="107">
        <v>1245900</v>
      </c>
      <c r="AE15" s="103">
        <f t="shared" si="2"/>
        <v>4522546967</v>
      </c>
    </row>
    <row r="16" spans="1:32" x14ac:dyDescent="0.4">
      <c r="A16" s="111">
        <v>18077</v>
      </c>
      <c r="B16" s="111" t="s">
        <v>53</v>
      </c>
      <c r="C16" s="111" t="s">
        <v>59</v>
      </c>
      <c r="D16" s="111"/>
      <c r="E16" s="111" t="s">
        <v>63</v>
      </c>
      <c r="F16" s="111">
        <v>219352814</v>
      </c>
      <c r="G16" s="111">
        <v>4522546931</v>
      </c>
      <c r="H16" s="112" t="s">
        <v>74</v>
      </c>
      <c r="I16" s="102">
        <v>1768.43</v>
      </c>
      <c r="J16" s="97"/>
      <c r="AA16" s="84">
        <f t="shared" si="0"/>
        <v>18077</v>
      </c>
      <c r="AB16" s="84" t="str">
        <f t="shared" si="1"/>
        <v>0247-10518</v>
      </c>
      <c r="AC16" s="84">
        <f t="shared" si="1"/>
        <v>219352814</v>
      </c>
      <c r="AD16" s="107">
        <v>2672600</v>
      </c>
      <c r="AE16" s="103">
        <f t="shared" si="2"/>
        <v>4522546931</v>
      </c>
    </row>
    <row r="17" spans="1:33" x14ac:dyDescent="0.4">
      <c r="A17" s="111">
        <v>18080</v>
      </c>
      <c r="B17" s="111" t="s">
        <v>53</v>
      </c>
      <c r="C17" s="111" t="s">
        <v>59</v>
      </c>
      <c r="D17" s="111"/>
      <c r="E17" s="111" t="s">
        <v>63</v>
      </c>
      <c r="F17" s="111">
        <v>220511501</v>
      </c>
      <c r="G17" s="111">
        <v>4522546963</v>
      </c>
      <c r="H17" s="112" t="s">
        <v>74</v>
      </c>
      <c r="I17" s="102">
        <v>824.43000000000006</v>
      </c>
      <c r="J17" s="97"/>
      <c r="AA17" s="84">
        <f t="shared" si="0"/>
        <v>18080</v>
      </c>
      <c r="AB17" s="84" t="str">
        <f t="shared" si="1"/>
        <v>0247-10518</v>
      </c>
      <c r="AC17" s="84">
        <f t="shared" si="1"/>
        <v>220511501</v>
      </c>
      <c r="AD17" s="107">
        <v>1245900</v>
      </c>
      <c r="AE17" s="103">
        <f t="shared" si="2"/>
        <v>4522546963</v>
      </c>
    </row>
    <row r="18" spans="1:33" x14ac:dyDescent="0.4">
      <c r="A18" s="111">
        <v>18083</v>
      </c>
      <c r="B18" s="111" t="s">
        <v>53</v>
      </c>
      <c r="C18" s="111" t="s">
        <v>59</v>
      </c>
      <c r="D18" s="111"/>
      <c r="E18" s="111" t="s">
        <v>63</v>
      </c>
      <c r="F18" s="111">
        <v>223706205</v>
      </c>
      <c r="G18" s="111">
        <v>4522546928</v>
      </c>
      <c r="H18" s="112" t="s">
        <v>74</v>
      </c>
      <c r="I18" s="102">
        <v>824.43000000000006</v>
      </c>
      <c r="J18" s="97"/>
      <c r="AA18" s="84">
        <f t="shared" si="0"/>
        <v>18083</v>
      </c>
      <c r="AB18" s="84" t="str">
        <f t="shared" si="1"/>
        <v>0247-10518</v>
      </c>
      <c r="AC18" s="84">
        <f t="shared" si="1"/>
        <v>223706205</v>
      </c>
      <c r="AD18" s="107">
        <v>1245900</v>
      </c>
      <c r="AE18" s="103">
        <f t="shared" si="2"/>
        <v>4522546928</v>
      </c>
    </row>
    <row r="19" spans="1:33" x14ac:dyDescent="0.4">
      <c r="A19" s="111">
        <v>18084</v>
      </c>
      <c r="B19" s="111" t="s">
        <v>53</v>
      </c>
      <c r="C19" s="111" t="s">
        <v>59</v>
      </c>
      <c r="D19" s="111"/>
      <c r="E19" s="111" t="s">
        <v>63</v>
      </c>
      <c r="F19" s="111">
        <v>223706207</v>
      </c>
      <c r="G19" s="111">
        <v>4522546935</v>
      </c>
      <c r="H19" s="112" t="s">
        <v>74</v>
      </c>
      <c r="I19" s="102">
        <v>5384.43</v>
      </c>
      <c r="J19" s="97"/>
      <c r="AA19" s="84">
        <f t="shared" si="0"/>
        <v>18084</v>
      </c>
      <c r="AB19" s="84" t="str">
        <f t="shared" si="1"/>
        <v>0247-10518</v>
      </c>
      <c r="AC19" s="84">
        <f t="shared" si="1"/>
        <v>223706207</v>
      </c>
      <c r="AD19" s="107">
        <v>8137300</v>
      </c>
      <c r="AE19" s="103">
        <f t="shared" si="2"/>
        <v>4522546935</v>
      </c>
    </row>
    <row r="20" spans="1:33" x14ac:dyDescent="0.4">
      <c r="A20" s="111">
        <v>18088</v>
      </c>
      <c r="B20" s="111" t="s">
        <v>53</v>
      </c>
      <c r="C20" s="111" t="s">
        <v>59</v>
      </c>
      <c r="D20" s="111"/>
      <c r="E20" s="111" t="s">
        <v>63</v>
      </c>
      <c r="F20" s="111">
        <v>225381410</v>
      </c>
      <c r="G20" s="111">
        <v>4522546971</v>
      </c>
      <c r="H20" s="112" t="s">
        <v>74</v>
      </c>
      <c r="I20" s="102">
        <v>2689.43</v>
      </c>
      <c r="J20" s="97"/>
      <c r="AA20" s="84">
        <f t="shared" si="0"/>
        <v>18088</v>
      </c>
      <c r="AB20" s="84" t="str">
        <f t="shared" si="1"/>
        <v>0247-10518</v>
      </c>
      <c r="AC20" s="84">
        <f t="shared" si="1"/>
        <v>225381410</v>
      </c>
      <c r="AD20" s="107">
        <v>4064400</v>
      </c>
      <c r="AE20" s="103">
        <f t="shared" si="2"/>
        <v>4522546971</v>
      </c>
      <c r="AG20" s="83">
        <v>494.43</v>
      </c>
    </row>
    <row r="21" spans="1:33" x14ac:dyDescent="0.4">
      <c r="A21" s="111">
        <v>18093</v>
      </c>
      <c r="B21" s="111" t="s">
        <v>53</v>
      </c>
      <c r="C21" s="111" t="s">
        <v>73</v>
      </c>
      <c r="D21" s="111"/>
      <c r="E21" s="111" t="s">
        <v>55</v>
      </c>
      <c r="F21" s="111">
        <v>181479015</v>
      </c>
      <c r="G21" s="111">
        <v>4522539871</v>
      </c>
      <c r="H21" s="112" t="s">
        <v>75</v>
      </c>
      <c r="I21" s="102">
        <v>4274.43</v>
      </c>
      <c r="J21" s="97"/>
      <c r="AA21" s="84">
        <f t="shared" si="0"/>
        <v>18093</v>
      </c>
      <c r="AB21" s="84" t="str">
        <f t="shared" si="1"/>
        <v>0247-06824</v>
      </c>
      <c r="AC21" s="84">
        <f t="shared" si="1"/>
        <v>181479015</v>
      </c>
      <c r="AD21" s="107">
        <v>6459800</v>
      </c>
      <c r="AE21" s="103">
        <f t="shared" si="2"/>
        <v>4522539871</v>
      </c>
    </row>
    <row r="22" spans="1:33" x14ac:dyDescent="0.4">
      <c r="A22" s="111">
        <v>18130</v>
      </c>
      <c r="B22" s="111" t="s">
        <v>53</v>
      </c>
      <c r="C22" s="111" t="s">
        <v>65</v>
      </c>
      <c r="D22" s="111"/>
      <c r="E22" s="111" t="s">
        <v>66</v>
      </c>
      <c r="F22" s="111">
        <v>124588335</v>
      </c>
      <c r="G22" s="111">
        <v>4522562202</v>
      </c>
      <c r="H22" s="112" t="s">
        <v>76</v>
      </c>
      <c r="I22" s="102">
        <v>3614.43</v>
      </c>
      <c r="J22" s="104"/>
      <c r="AA22" s="84">
        <f t="shared" si="0"/>
        <v>18130</v>
      </c>
      <c r="AB22" s="84" t="str">
        <f t="shared" ref="AB22:AC41" si="3">IF($AA22="","",HLOOKUP(AB$1,$A:$Z,ROW($AA22),FALSE))</f>
        <v>0247-07525</v>
      </c>
      <c r="AC22" s="84">
        <f t="shared" si="3"/>
        <v>124588335</v>
      </c>
      <c r="AD22" s="107">
        <v>5462300</v>
      </c>
      <c r="AE22" s="103">
        <f t="shared" si="2"/>
        <v>4522562202</v>
      </c>
    </row>
    <row r="23" spans="1:33" x14ac:dyDescent="0.4">
      <c r="A23" s="111">
        <v>18132</v>
      </c>
      <c r="B23" s="111" t="s">
        <v>53</v>
      </c>
      <c r="C23" s="111" t="s">
        <v>65</v>
      </c>
      <c r="D23" s="111"/>
      <c r="E23" s="111" t="s">
        <v>66</v>
      </c>
      <c r="F23" s="111">
        <v>130895009</v>
      </c>
      <c r="G23" s="111">
        <v>4522562181</v>
      </c>
      <c r="H23" s="112" t="s">
        <v>76</v>
      </c>
      <c r="I23" s="102">
        <v>3614.43</v>
      </c>
      <c r="J23" s="104"/>
      <c r="AA23" s="84">
        <f t="shared" si="0"/>
        <v>18132</v>
      </c>
      <c r="AB23" s="84" t="str">
        <f t="shared" si="3"/>
        <v>0247-07525</v>
      </c>
      <c r="AC23" s="84">
        <f t="shared" si="3"/>
        <v>130895009</v>
      </c>
      <c r="AD23" s="107">
        <v>5462300</v>
      </c>
      <c r="AE23" s="103">
        <f t="shared" si="2"/>
        <v>4522562181</v>
      </c>
    </row>
    <row r="24" spans="1:33" x14ac:dyDescent="0.4">
      <c r="A24" s="111">
        <v>18137</v>
      </c>
      <c r="B24" s="111" t="s">
        <v>53</v>
      </c>
      <c r="C24" s="111" t="s">
        <v>65</v>
      </c>
      <c r="D24" s="111"/>
      <c r="E24" s="111" t="s">
        <v>66</v>
      </c>
      <c r="F24" s="111">
        <v>130895008</v>
      </c>
      <c r="G24" s="111">
        <v>4522562205</v>
      </c>
      <c r="H24" s="112" t="s">
        <v>76</v>
      </c>
      <c r="I24" s="102">
        <v>824.43000000000006</v>
      </c>
      <c r="J24" s="97"/>
      <c r="AA24" s="84">
        <f t="shared" si="0"/>
        <v>18137</v>
      </c>
      <c r="AB24" s="84" t="str">
        <f t="shared" si="3"/>
        <v>0247-07525</v>
      </c>
      <c r="AC24" s="84">
        <f t="shared" si="3"/>
        <v>130895008</v>
      </c>
      <c r="AD24" s="107">
        <v>1245900</v>
      </c>
      <c r="AE24" s="103">
        <f t="shared" si="2"/>
        <v>4522562205</v>
      </c>
    </row>
    <row r="25" spans="1:33" x14ac:dyDescent="0.4">
      <c r="A25" s="111">
        <v>18138</v>
      </c>
      <c r="B25" s="111" t="s">
        <v>53</v>
      </c>
      <c r="C25" s="111" t="s">
        <v>65</v>
      </c>
      <c r="D25" s="111"/>
      <c r="E25" s="111" t="s">
        <v>66</v>
      </c>
      <c r="F25" s="111">
        <v>125037301</v>
      </c>
      <c r="G25" s="111">
        <v>4522562186</v>
      </c>
      <c r="H25" s="112" t="s">
        <v>76</v>
      </c>
      <c r="I25" s="102">
        <v>824.43000000000006</v>
      </c>
      <c r="J25" s="97"/>
      <c r="AA25" s="84">
        <f t="shared" ref="AA25" si="4">IF(A25=0,"",A25)</f>
        <v>18138</v>
      </c>
      <c r="AB25" s="84" t="str">
        <f t="shared" si="3"/>
        <v>0247-07525</v>
      </c>
      <c r="AC25" s="84">
        <f t="shared" si="3"/>
        <v>125037301</v>
      </c>
      <c r="AD25" s="107">
        <v>1245900</v>
      </c>
      <c r="AE25" s="103">
        <f t="shared" si="2"/>
        <v>4522562186</v>
      </c>
    </row>
    <row r="26" spans="1:33" x14ac:dyDescent="0.4">
      <c r="A26" s="111">
        <v>18626</v>
      </c>
      <c r="B26" s="111" t="s">
        <v>53</v>
      </c>
      <c r="C26" s="111" t="s">
        <v>59</v>
      </c>
      <c r="D26" s="111"/>
      <c r="E26" s="111" t="s">
        <v>63</v>
      </c>
      <c r="F26" s="111">
        <v>225381405</v>
      </c>
      <c r="G26" s="111">
        <v>4522838376</v>
      </c>
      <c r="H26" s="112" t="s">
        <v>62</v>
      </c>
      <c r="I26" s="102">
        <v>714.43000000000006</v>
      </c>
      <c r="J26" s="97"/>
      <c r="AA26" s="84">
        <f t="shared" ref="AA26" si="5">IF(A26=0,"",A26)</f>
        <v>18626</v>
      </c>
      <c r="AB26" s="84" t="str">
        <f t="shared" si="3"/>
        <v>0247-10518</v>
      </c>
      <c r="AC26" s="84">
        <f t="shared" si="3"/>
        <v>225381405</v>
      </c>
      <c r="AD26" s="107">
        <v>1079700</v>
      </c>
      <c r="AE26" s="103">
        <f t="shared" si="2"/>
        <v>4522838376</v>
      </c>
    </row>
    <row r="27" spans="1:33" x14ac:dyDescent="0.4">
      <c r="A27" s="111">
        <v>18629</v>
      </c>
      <c r="B27" s="111" t="s">
        <v>53</v>
      </c>
      <c r="C27" s="111" t="s">
        <v>59</v>
      </c>
      <c r="D27" s="111"/>
      <c r="E27" s="111" t="s">
        <v>77</v>
      </c>
      <c r="F27" s="111">
        <v>243430904</v>
      </c>
      <c r="G27" s="111">
        <v>4522838370</v>
      </c>
      <c r="H27" s="112" t="s">
        <v>64</v>
      </c>
      <c r="I27" s="102">
        <v>714.43000000000006</v>
      </c>
      <c r="J27" s="104"/>
      <c r="AA27" s="84">
        <f t="shared" ref="AA27" si="6">IF(A27=0,"",A27)</f>
        <v>18629</v>
      </c>
      <c r="AB27" s="84" t="str">
        <f t="shared" si="3"/>
        <v>0247-10597</v>
      </c>
      <c r="AC27" s="84">
        <f t="shared" si="3"/>
        <v>243430904</v>
      </c>
      <c r="AD27" s="107">
        <v>1079700</v>
      </c>
      <c r="AE27" s="103">
        <f t="shared" si="2"/>
        <v>4522838370</v>
      </c>
    </row>
    <row r="28" spans="1:33" x14ac:dyDescent="0.4">
      <c r="A28" s="111">
        <v>18661</v>
      </c>
      <c r="B28" s="111" t="s">
        <v>58</v>
      </c>
      <c r="C28" s="111" t="s">
        <v>78</v>
      </c>
      <c r="D28" s="111"/>
      <c r="E28" s="111" t="s">
        <v>57</v>
      </c>
      <c r="F28" s="111">
        <v>210535606</v>
      </c>
      <c r="G28" s="111">
        <v>4522863918</v>
      </c>
      <c r="H28" s="112" t="s">
        <v>68</v>
      </c>
      <c r="I28" s="102">
        <v>3299.43</v>
      </c>
      <c r="J28" s="104"/>
      <c r="AA28" s="84">
        <f t="shared" ref="AA28" si="7">IF(A28=0,"",A28)</f>
        <v>18661</v>
      </c>
      <c r="AB28" s="84" t="str">
        <f t="shared" si="3"/>
        <v>0247-08364</v>
      </c>
      <c r="AC28" s="84">
        <f t="shared" si="3"/>
        <v>210535606</v>
      </c>
      <c r="AD28" s="107">
        <v>4986300</v>
      </c>
      <c r="AE28" s="103">
        <f t="shared" si="2"/>
        <v>4522863918</v>
      </c>
    </row>
    <row r="29" spans="1:33" x14ac:dyDescent="0.4">
      <c r="A29" s="111">
        <v>18662</v>
      </c>
      <c r="B29" s="111" t="s">
        <v>58</v>
      </c>
      <c r="C29" s="111" t="s">
        <v>78</v>
      </c>
      <c r="D29" s="111"/>
      <c r="E29" s="111" t="s">
        <v>57</v>
      </c>
      <c r="F29" s="111">
        <v>202020004</v>
      </c>
      <c r="G29" s="111">
        <v>4522863917</v>
      </c>
      <c r="H29" s="112" t="s">
        <v>68</v>
      </c>
      <c r="I29" s="102">
        <v>714.43000000000006</v>
      </c>
      <c r="J29" s="104"/>
      <c r="AA29" s="84">
        <f t="shared" ref="AA29" si="8">IF(A29=0,"",A29)</f>
        <v>18662</v>
      </c>
      <c r="AB29" s="84" t="str">
        <f t="shared" si="3"/>
        <v>0247-08364</v>
      </c>
      <c r="AC29" s="84">
        <f t="shared" si="3"/>
        <v>202020004</v>
      </c>
      <c r="AD29" s="107">
        <v>1079700</v>
      </c>
      <c r="AE29" s="103">
        <f t="shared" si="2"/>
        <v>4522863917</v>
      </c>
    </row>
    <row r="30" spans="1:33" x14ac:dyDescent="0.4">
      <c r="A30" s="111">
        <v>18663</v>
      </c>
      <c r="B30" s="111" t="s">
        <v>58</v>
      </c>
      <c r="C30" s="111" t="s">
        <v>78</v>
      </c>
      <c r="D30" s="111"/>
      <c r="E30" s="111" t="s">
        <v>57</v>
      </c>
      <c r="F30" s="111">
        <v>206703908</v>
      </c>
      <c r="G30" s="111">
        <v>4522863924</v>
      </c>
      <c r="H30" s="112" t="s">
        <v>68</v>
      </c>
      <c r="I30" s="102">
        <v>3299.43</v>
      </c>
      <c r="J30" s="97"/>
      <c r="AA30" s="84">
        <f t="shared" ref="AA30:AA34" si="9">IF(A30=0,"",A30)</f>
        <v>18663</v>
      </c>
      <c r="AB30" s="84" t="str">
        <f t="shared" si="3"/>
        <v>0247-08364</v>
      </c>
      <c r="AC30" s="84">
        <f t="shared" si="3"/>
        <v>206703908</v>
      </c>
      <c r="AD30" s="107">
        <v>4986300</v>
      </c>
      <c r="AE30" s="103">
        <f t="shared" si="2"/>
        <v>4522863924</v>
      </c>
    </row>
    <row r="31" spans="1:33" x14ac:dyDescent="0.4">
      <c r="A31" s="111">
        <v>18664</v>
      </c>
      <c r="B31" s="111" t="s">
        <v>58</v>
      </c>
      <c r="C31" s="111" t="s">
        <v>78</v>
      </c>
      <c r="D31" s="111"/>
      <c r="E31" s="111" t="s">
        <v>57</v>
      </c>
      <c r="F31" s="111">
        <v>215908421</v>
      </c>
      <c r="G31" s="111">
        <v>4522863922</v>
      </c>
      <c r="H31" s="112" t="s">
        <v>68</v>
      </c>
      <c r="I31" s="102">
        <v>3299.43</v>
      </c>
      <c r="J31" s="97"/>
      <c r="AA31" s="84">
        <f t="shared" si="9"/>
        <v>18664</v>
      </c>
      <c r="AB31" s="84" t="str">
        <f t="shared" si="3"/>
        <v>0247-08364</v>
      </c>
      <c r="AC31" s="84">
        <f t="shared" si="3"/>
        <v>215908421</v>
      </c>
      <c r="AD31" s="107">
        <v>4986300</v>
      </c>
      <c r="AE31" s="103">
        <f t="shared" si="2"/>
        <v>4522863922</v>
      </c>
    </row>
    <row r="32" spans="1:33" x14ac:dyDescent="0.4">
      <c r="A32" s="111">
        <v>18665</v>
      </c>
      <c r="B32" s="111" t="s">
        <v>58</v>
      </c>
      <c r="C32" s="111" t="s">
        <v>78</v>
      </c>
      <c r="D32" s="111"/>
      <c r="E32" s="111" t="s">
        <v>57</v>
      </c>
      <c r="F32" s="111">
        <v>194837409</v>
      </c>
      <c r="G32" s="111">
        <v>4522863919</v>
      </c>
      <c r="H32" s="112" t="s">
        <v>68</v>
      </c>
      <c r="I32" s="102">
        <v>3299.43</v>
      </c>
      <c r="J32" s="104"/>
      <c r="AA32" s="84">
        <f t="shared" si="9"/>
        <v>18665</v>
      </c>
      <c r="AB32" s="84" t="str">
        <f t="shared" si="3"/>
        <v>0247-08364</v>
      </c>
      <c r="AC32" s="84">
        <f t="shared" si="3"/>
        <v>194837409</v>
      </c>
      <c r="AD32" s="107">
        <v>4986300</v>
      </c>
      <c r="AE32" s="103">
        <f t="shared" si="2"/>
        <v>4522863919</v>
      </c>
    </row>
    <row r="33" spans="1:31" x14ac:dyDescent="0.4">
      <c r="A33" s="111">
        <v>18666</v>
      </c>
      <c r="B33" s="111" t="s">
        <v>58</v>
      </c>
      <c r="C33" s="111" t="s">
        <v>78</v>
      </c>
      <c r="D33" s="111"/>
      <c r="E33" s="111" t="s">
        <v>57</v>
      </c>
      <c r="F33" s="111">
        <v>210535610</v>
      </c>
      <c r="G33" s="111">
        <v>4522863916</v>
      </c>
      <c r="H33" s="112" t="s">
        <v>68</v>
      </c>
      <c r="I33" s="102">
        <v>3299.43</v>
      </c>
      <c r="J33" s="105"/>
      <c r="AA33" s="84">
        <f t="shared" si="9"/>
        <v>18666</v>
      </c>
      <c r="AB33" s="84" t="str">
        <f t="shared" si="3"/>
        <v>0247-08364</v>
      </c>
      <c r="AC33" s="84">
        <f t="shared" si="3"/>
        <v>210535610</v>
      </c>
      <c r="AD33" s="107">
        <v>4986300</v>
      </c>
      <c r="AE33" s="103">
        <f t="shared" si="2"/>
        <v>4522863916</v>
      </c>
    </row>
    <row r="34" spans="1:31" x14ac:dyDescent="0.4">
      <c r="A34" s="111">
        <v>18667</v>
      </c>
      <c r="B34" s="111" t="s">
        <v>58</v>
      </c>
      <c r="C34" s="111" t="s">
        <v>78</v>
      </c>
      <c r="D34" s="111"/>
      <c r="E34" s="111" t="s">
        <v>57</v>
      </c>
      <c r="F34" s="111">
        <v>207130404</v>
      </c>
      <c r="G34" s="111">
        <v>4522854364</v>
      </c>
      <c r="H34" s="112" t="s">
        <v>68</v>
      </c>
      <c r="I34" s="102">
        <v>714.43000000000006</v>
      </c>
      <c r="J34" s="98"/>
      <c r="AA34" s="84">
        <f t="shared" si="9"/>
        <v>18667</v>
      </c>
      <c r="AB34" s="84" t="str">
        <f t="shared" si="3"/>
        <v>0247-08364</v>
      </c>
      <c r="AC34" s="84">
        <f t="shared" si="3"/>
        <v>207130404</v>
      </c>
      <c r="AD34" s="107">
        <v>1079700</v>
      </c>
      <c r="AE34" s="103">
        <f t="shared" ref="AE34:AE65" si="10">IF($AA34="","",HLOOKUP(AE$1,$A:$Z,ROW($AA34),FALSE))</f>
        <v>4522854364</v>
      </c>
    </row>
    <row r="35" spans="1:31" x14ac:dyDescent="0.4">
      <c r="A35" s="111">
        <v>18668</v>
      </c>
      <c r="B35" s="111" t="s">
        <v>58</v>
      </c>
      <c r="C35" s="111" t="s">
        <v>78</v>
      </c>
      <c r="D35" s="111"/>
      <c r="E35" s="111" t="s">
        <v>57</v>
      </c>
      <c r="F35" s="111">
        <v>210535620</v>
      </c>
      <c r="G35" s="111">
        <v>4522863920</v>
      </c>
      <c r="H35" s="112" t="s">
        <v>68</v>
      </c>
      <c r="I35" s="102">
        <v>3299.43</v>
      </c>
      <c r="J35" s="105"/>
      <c r="AA35" s="84">
        <f t="shared" ref="AA35:AA58" si="11">IF(A35=0,"",A35)</f>
        <v>18668</v>
      </c>
      <c r="AB35" s="84" t="str">
        <f t="shared" si="3"/>
        <v>0247-08364</v>
      </c>
      <c r="AC35" s="84">
        <f t="shared" si="3"/>
        <v>210535620</v>
      </c>
      <c r="AD35" s="107">
        <v>4986300</v>
      </c>
      <c r="AE35" s="103">
        <f t="shared" si="10"/>
        <v>4522863920</v>
      </c>
    </row>
    <row r="36" spans="1:31" x14ac:dyDescent="0.4">
      <c r="A36" s="111">
        <v>18701</v>
      </c>
      <c r="B36" s="111" t="s">
        <v>53</v>
      </c>
      <c r="C36" s="111" t="s">
        <v>78</v>
      </c>
      <c r="D36" s="111"/>
      <c r="E36" s="111" t="s">
        <v>57</v>
      </c>
      <c r="F36" s="111">
        <v>201351420</v>
      </c>
      <c r="G36" s="111">
        <v>4522865630</v>
      </c>
      <c r="H36" s="112" t="s">
        <v>68</v>
      </c>
      <c r="I36" s="102">
        <v>3299.43</v>
      </c>
      <c r="J36" s="104"/>
      <c r="AA36" s="84">
        <f t="shared" si="11"/>
        <v>18701</v>
      </c>
      <c r="AB36" s="84" t="str">
        <f t="shared" si="3"/>
        <v>0247-08364</v>
      </c>
      <c r="AC36" s="84">
        <f t="shared" si="3"/>
        <v>201351420</v>
      </c>
      <c r="AD36" s="107">
        <v>4986300</v>
      </c>
      <c r="AE36" s="103">
        <f t="shared" si="10"/>
        <v>4522865630</v>
      </c>
    </row>
    <row r="37" spans="1:31" x14ac:dyDescent="0.4">
      <c r="A37" s="111">
        <v>18704</v>
      </c>
      <c r="B37" s="111" t="s">
        <v>53</v>
      </c>
      <c r="C37" s="111" t="s">
        <v>78</v>
      </c>
      <c r="D37" s="111"/>
      <c r="E37" s="111" t="s">
        <v>57</v>
      </c>
      <c r="F37" s="111">
        <v>202020003</v>
      </c>
      <c r="G37" s="111">
        <v>4522865615</v>
      </c>
      <c r="H37" s="112" t="s">
        <v>68</v>
      </c>
      <c r="I37" s="102">
        <v>714.43000000000006</v>
      </c>
      <c r="J37" s="97"/>
      <c r="AA37" s="84">
        <f t="shared" si="11"/>
        <v>18704</v>
      </c>
      <c r="AB37" s="84" t="str">
        <f t="shared" si="3"/>
        <v>0247-08364</v>
      </c>
      <c r="AC37" s="84">
        <f t="shared" si="3"/>
        <v>202020003</v>
      </c>
      <c r="AD37" s="107">
        <v>1079700</v>
      </c>
      <c r="AE37" s="103">
        <f t="shared" si="10"/>
        <v>4522865615</v>
      </c>
    </row>
    <row r="38" spans="1:31" x14ac:dyDescent="0.4">
      <c r="A38" s="111">
        <v>18705</v>
      </c>
      <c r="B38" s="111" t="s">
        <v>53</v>
      </c>
      <c r="C38" s="111" t="s">
        <v>78</v>
      </c>
      <c r="D38" s="111"/>
      <c r="E38" s="111" t="s">
        <v>57</v>
      </c>
      <c r="F38" s="111">
        <v>206703903</v>
      </c>
      <c r="G38" s="111">
        <v>4522865627</v>
      </c>
      <c r="H38" s="112" t="s">
        <v>68</v>
      </c>
      <c r="I38" s="102">
        <v>3299.43</v>
      </c>
      <c r="J38" s="110"/>
      <c r="AA38" s="84">
        <f t="shared" si="11"/>
        <v>18705</v>
      </c>
      <c r="AB38" s="84" t="str">
        <f t="shared" si="3"/>
        <v>0247-08364</v>
      </c>
      <c r="AC38" s="84">
        <f t="shared" si="3"/>
        <v>206703903</v>
      </c>
      <c r="AD38" s="107">
        <v>4986300</v>
      </c>
      <c r="AE38" s="103">
        <f t="shared" si="10"/>
        <v>4522865627</v>
      </c>
    </row>
    <row r="39" spans="1:31" ht="27.9" customHeight="1" x14ac:dyDescent="0.4">
      <c r="A39" s="111">
        <v>18713</v>
      </c>
      <c r="B39" s="111" t="s">
        <v>53</v>
      </c>
      <c r="C39" s="111" t="s">
        <v>78</v>
      </c>
      <c r="D39" s="111"/>
      <c r="E39" s="111" t="s">
        <v>57</v>
      </c>
      <c r="F39" s="111">
        <v>206703911</v>
      </c>
      <c r="G39" s="111">
        <v>4522865599</v>
      </c>
      <c r="H39" s="112" t="s">
        <v>68</v>
      </c>
      <c r="I39" s="102">
        <v>714.43000000000006</v>
      </c>
      <c r="J39" s="104"/>
      <c r="AA39" s="84">
        <f t="shared" si="11"/>
        <v>18713</v>
      </c>
      <c r="AB39" s="84" t="str">
        <f t="shared" si="3"/>
        <v>0247-08364</v>
      </c>
      <c r="AC39" s="84">
        <f t="shared" si="3"/>
        <v>206703911</v>
      </c>
      <c r="AD39" s="107">
        <v>1079700</v>
      </c>
      <c r="AE39" s="103">
        <f t="shared" si="10"/>
        <v>4522865599</v>
      </c>
    </row>
    <row r="40" spans="1:31" x14ac:dyDescent="0.4">
      <c r="A40" s="111">
        <v>18715</v>
      </c>
      <c r="B40" s="111" t="s">
        <v>53</v>
      </c>
      <c r="C40" s="111" t="s">
        <v>78</v>
      </c>
      <c r="D40" s="111"/>
      <c r="E40" s="111" t="s">
        <v>57</v>
      </c>
      <c r="F40" s="111">
        <v>201351419</v>
      </c>
      <c r="G40" s="111">
        <v>4522865612</v>
      </c>
      <c r="H40" s="112" t="s">
        <v>68</v>
      </c>
      <c r="I40" s="102">
        <v>714.43000000000006</v>
      </c>
      <c r="J40" s="105"/>
      <c r="AA40" s="84">
        <f t="shared" si="11"/>
        <v>18715</v>
      </c>
      <c r="AB40" s="84" t="str">
        <f t="shared" si="3"/>
        <v>0247-08364</v>
      </c>
      <c r="AC40" s="84">
        <f t="shared" si="3"/>
        <v>201351419</v>
      </c>
      <c r="AD40" s="107">
        <v>1079700</v>
      </c>
      <c r="AE40" s="103">
        <f t="shared" si="10"/>
        <v>4522865612</v>
      </c>
    </row>
    <row r="41" spans="1:31" x14ac:dyDescent="0.4">
      <c r="A41" s="111"/>
      <c r="B41" s="111"/>
      <c r="C41" s="111"/>
      <c r="D41" s="111"/>
      <c r="E41" s="111"/>
      <c r="F41" s="111"/>
      <c r="G41" s="100"/>
      <c r="H41" s="112"/>
      <c r="I41" s="102"/>
      <c r="J41" s="97"/>
      <c r="AA41" s="84" t="str">
        <f t="shared" si="11"/>
        <v/>
      </c>
      <c r="AB41" s="84" t="str">
        <f t="shared" si="3"/>
        <v/>
      </c>
      <c r="AC41" s="84" t="str">
        <f t="shared" si="3"/>
        <v/>
      </c>
      <c r="AD41" s="107" t="e">
        <f t="shared" ref="AD41:AD65" si="12">ROUND(IF($AA41="","",ROUND(VALUE(SUBSTITUTE(SUBSTITUTE(HLOOKUP(AD$1,$A:$Z,ROW($AA41),FALSE),"₩","")," ",""))*$Z$1,0)),-2)</f>
        <v>#VALUE!</v>
      </c>
      <c r="AE41" s="103" t="str">
        <f t="shared" si="10"/>
        <v/>
      </c>
    </row>
    <row r="42" spans="1:31" x14ac:dyDescent="0.4">
      <c r="A42" s="111"/>
      <c r="B42" s="111"/>
      <c r="C42" s="111"/>
      <c r="D42" s="111"/>
      <c r="E42" s="111"/>
      <c r="F42" s="111"/>
      <c r="G42" s="100"/>
      <c r="H42" s="112"/>
      <c r="I42" s="102"/>
      <c r="J42" s="104"/>
      <c r="AA42" s="84" t="str">
        <f t="shared" si="11"/>
        <v/>
      </c>
      <c r="AB42" s="84" t="str">
        <f t="shared" ref="AB42:AC61" si="13">IF($AA42="","",HLOOKUP(AB$1,$A:$Z,ROW($AA42),FALSE))</f>
        <v/>
      </c>
      <c r="AC42" s="84" t="str">
        <f t="shared" si="13"/>
        <v/>
      </c>
      <c r="AD42" s="107" t="e">
        <f t="shared" si="12"/>
        <v>#VALUE!</v>
      </c>
      <c r="AE42" s="103" t="str">
        <f t="shared" si="10"/>
        <v/>
      </c>
    </row>
    <row r="43" spans="1:31" ht="27.9" customHeight="1" x14ac:dyDescent="0.4">
      <c r="A43" s="111"/>
      <c r="B43" s="111"/>
      <c r="C43" s="111"/>
      <c r="D43" s="111"/>
      <c r="E43" s="111"/>
      <c r="F43" s="111"/>
      <c r="G43" s="100"/>
      <c r="H43" s="112"/>
      <c r="I43" s="102"/>
      <c r="J43" s="105"/>
      <c r="AA43" s="84" t="str">
        <f t="shared" si="11"/>
        <v/>
      </c>
      <c r="AB43" s="84" t="str">
        <f t="shared" si="13"/>
        <v/>
      </c>
      <c r="AC43" s="84" t="str">
        <f t="shared" si="13"/>
        <v/>
      </c>
      <c r="AD43" s="107" t="e">
        <f t="shared" si="12"/>
        <v>#VALUE!</v>
      </c>
      <c r="AE43" s="103" t="str">
        <f t="shared" si="10"/>
        <v/>
      </c>
    </row>
    <row r="44" spans="1:31" x14ac:dyDescent="0.4">
      <c r="A44" s="111"/>
      <c r="B44" s="111"/>
      <c r="C44" s="111"/>
      <c r="D44" s="111"/>
      <c r="E44" s="111"/>
      <c r="F44" s="111"/>
      <c r="G44" s="100"/>
      <c r="H44" s="112"/>
      <c r="I44" s="102"/>
      <c r="J44" s="104"/>
      <c r="AA44" s="84" t="str">
        <f t="shared" ref="AA44:AA50" si="14">IF(A44=0,"",A44)</f>
        <v/>
      </c>
      <c r="AB44" s="84" t="str">
        <f t="shared" si="13"/>
        <v/>
      </c>
      <c r="AC44" s="84" t="str">
        <f t="shared" si="13"/>
        <v/>
      </c>
      <c r="AD44" s="106" t="e">
        <f t="shared" si="12"/>
        <v>#VALUE!</v>
      </c>
      <c r="AE44" s="103" t="str">
        <f t="shared" si="10"/>
        <v/>
      </c>
    </row>
    <row r="45" spans="1:31" x14ac:dyDescent="0.4">
      <c r="A45" s="111"/>
      <c r="B45" s="111"/>
      <c r="C45" s="111"/>
      <c r="D45" s="111"/>
      <c r="E45" s="111"/>
      <c r="F45" s="111"/>
      <c r="G45" s="100"/>
      <c r="H45" s="112"/>
      <c r="I45" s="102"/>
      <c r="J45" s="104"/>
      <c r="AA45" s="84" t="str">
        <f t="shared" si="14"/>
        <v/>
      </c>
      <c r="AB45" s="84" t="str">
        <f t="shared" si="13"/>
        <v/>
      </c>
      <c r="AC45" s="84" t="str">
        <f t="shared" si="13"/>
        <v/>
      </c>
      <c r="AD45" s="106" t="e">
        <f t="shared" si="12"/>
        <v>#VALUE!</v>
      </c>
      <c r="AE45" s="103" t="str">
        <f t="shared" si="10"/>
        <v/>
      </c>
    </row>
    <row r="46" spans="1:31" x14ac:dyDescent="0.4">
      <c r="A46" s="111"/>
      <c r="B46" s="111"/>
      <c r="C46" s="111"/>
      <c r="D46" s="111"/>
      <c r="E46" s="111"/>
      <c r="F46" s="111"/>
      <c r="G46" s="100"/>
      <c r="H46" s="112"/>
      <c r="I46" s="102"/>
      <c r="J46" s="104"/>
      <c r="AA46" s="84" t="str">
        <f t="shared" si="14"/>
        <v/>
      </c>
      <c r="AB46" s="84" t="str">
        <f t="shared" si="13"/>
        <v/>
      </c>
      <c r="AC46" s="84" t="str">
        <f t="shared" si="13"/>
        <v/>
      </c>
      <c r="AD46" s="106" t="e">
        <f t="shared" si="12"/>
        <v>#VALUE!</v>
      </c>
      <c r="AE46" s="103" t="str">
        <f t="shared" si="10"/>
        <v/>
      </c>
    </row>
    <row r="47" spans="1:31" x14ac:dyDescent="0.4">
      <c r="A47" s="111"/>
      <c r="B47" s="111"/>
      <c r="C47" s="111"/>
      <c r="D47" s="111"/>
      <c r="E47" s="111"/>
      <c r="F47" s="111"/>
      <c r="G47" s="100"/>
      <c r="H47" s="112"/>
      <c r="I47" s="102"/>
      <c r="J47" s="105"/>
      <c r="AA47" s="84" t="str">
        <f t="shared" si="14"/>
        <v/>
      </c>
      <c r="AB47" s="84" t="str">
        <f t="shared" si="13"/>
        <v/>
      </c>
      <c r="AC47" s="84" t="str">
        <f t="shared" si="13"/>
        <v/>
      </c>
      <c r="AD47" s="106" t="e">
        <f t="shared" si="12"/>
        <v>#VALUE!</v>
      </c>
      <c r="AE47" s="103" t="str">
        <f t="shared" si="10"/>
        <v/>
      </c>
    </row>
    <row r="48" spans="1:31" x14ac:dyDescent="0.4">
      <c r="A48" s="111"/>
      <c r="B48" s="111"/>
      <c r="C48" s="111"/>
      <c r="D48" s="111"/>
      <c r="E48" s="111"/>
      <c r="F48" s="111"/>
      <c r="G48" s="100"/>
      <c r="H48" s="112"/>
      <c r="I48" s="102"/>
      <c r="J48" s="104"/>
      <c r="AA48" s="84" t="str">
        <f t="shared" si="14"/>
        <v/>
      </c>
      <c r="AB48" s="84" t="str">
        <f t="shared" si="13"/>
        <v/>
      </c>
      <c r="AC48" s="84" t="str">
        <f t="shared" si="13"/>
        <v/>
      </c>
      <c r="AD48" s="106" t="e">
        <f t="shared" si="12"/>
        <v>#VALUE!</v>
      </c>
      <c r="AE48" s="103" t="str">
        <f t="shared" si="10"/>
        <v/>
      </c>
    </row>
    <row r="49" spans="1:31" x14ac:dyDescent="0.4">
      <c r="A49" s="111"/>
      <c r="B49" s="111"/>
      <c r="C49" s="111"/>
      <c r="D49" s="111"/>
      <c r="E49" s="111"/>
      <c r="F49" s="111"/>
      <c r="G49" s="100"/>
      <c r="H49" s="112"/>
      <c r="I49" s="102"/>
      <c r="J49" s="105"/>
      <c r="AA49" s="84" t="str">
        <f t="shared" si="14"/>
        <v/>
      </c>
      <c r="AB49" s="84" t="str">
        <f t="shared" si="13"/>
        <v/>
      </c>
      <c r="AC49" s="84" t="str">
        <f t="shared" si="13"/>
        <v/>
      </c>
      <c r="AD49" s="106" t="e">
        <f t="shared" si="12"/>
        <v>#VALUE!</v>
      </c>
      <c r="AE49" s="103" t="str">
        <f t="shared" si="10"/>
        <v/>
      </c>
    </row>
    <row r="50" spans="1:31" ht="27.9" customHeight="1" x14ac:dyDescent="0.4">
      <c r="A50" s="111"/>
      <c r="B50" s="111"/>
      <c r="C50" s="111"/>
      <c r="D50" s="111"/>
      <c r="E50" s="111"/>
      <c r="F50" s="111"/>
      <c r="G50" s="100"/>
      <c r="H50" s="112"/>
      <c r="I50" s="102"/>
      <c r="J50" s="105"/>
      <c r="AA50" s="84" t="str">
        <f t="shared" si="14"/>
        <v/>
      </c>
      <c r="AB50" s="84" t="str">
        <f t="shared" si="13"/>
        <v/>
      </c>
      <c r="AC50" s="84" t="str">
        <f t="shared" si="13"/>
        <v/>
      </c>
      <c r="AD50" s="106" t="e">
        <f t="shared" si="12"/>
        <v>#VALUE!</v>
      </c>
      <c r="AE50" s="103" t="str">
        <f t="shared" si="10"/>
        <v/>
      </c>
    </row>
    <row r="51" spans="1:31" ht="27.9" customHeight="1" x14ac:dyDescent="0.4">
      <c r="A51" s="111"/>
      <c r="B51" s="111"/>
      <c r="C51" s="111"/>
      <c r="D51" s="111"/>
      <c r="E51" s="111"/>
      <c r="F51" s="111"/>
      <c r="G51" s="100"/>
      <c r="H51" s="112"/>
      <c r="I51" s="102"/>
      <c r="J51" s="105"/>
      <c r="AA51" s="84" t="str">
        <f t="shared" ref="AA51:AA55" si="15">IF(A51=0,"",A51)</f>
        <v/>
      </c>
      <c r="AB51" s="84" t="str">
        <f t="shared" si="13"/>
        <v/>
      </c>
      <c r="AC51" s="84" t="str">
        <f t="shared" si="13"/>
        <v/>
      </c>
      <c r="AD51" s="106" t="e">
        <f t="shared" si="12"/>
        <v>#VALUE!</v>
      </c>
      <c r="AE51" s="103" t="str">
        <f t="shared" si="10"/>
        <v/>
      </c>
    </row>
    <row r="52" spans="1:31" x14ac:dyDescent="0.4">
      <c r="A52" s="111"/>
      <c r="B52" s="111"/>
      <c r="C52" s="111"/>
      <c r="D52" s="111"/>
      <c r="E52" s="111"/>
      <c r="F52" s="111"/>
      <c r="G52" s="100"/>
      <c r="H52" s="112"/>
      <c r="I52" s="102"/>
      <c r="J52" s="104"/>
      <c r="AA52" s="84" t="str">
        <f t="shared" si="15"/>
        <v/>
      </c>
      <c r="AB52" s="84" t="str">
        <f t="shared" si="13"/>
        <v/>
      </c>
      <c r="AC52" s="84" t="str">
        <f t="shared" si="13"/>
        <v/>
      </c>
      <c r="AD52" s="106" t="e">
        <f t="shared" si="12"/>
        <v>#VALUE!</v>
      </c>
      <c r="AE52" s="103" t="str">
        <f t="shared" si="10"/>
        <v/>
      </c>
    </row>
    <row r="53" spans="1:31" x14ac:dyDescent="0.4">
      <c r="A53" s="111"/>
      <c r="B53" s="111"/>
      <c r="C53" s="111"/>
      <c r="D53" s="111"/>
      <c r="E53" s="111"/>
      <c r="F53" s="111"/>
      <c r="G53" s="100"/>
      <c r="H53" s="112"/>
      <c r="I53" s="102"/>
      <c r="J53" s="104"/>
      <c r="AA53" s="84" t="str">
        <f t="shared" si="15"/>
        <v/>
      </c>
      <c r="AB53" s="84" t="str">
        <f t="shared" si="13"/>
        <v/>
      </c>
      <c r="AC53" s="84" t="str">
        <f t="shared" si="13"/>
        <v/>
      </c>
      <c r="AD53" s="106" t="e">
        <f t="shared" si="12"/>
        <v>#VALUE!</v>
      </c>
      <c r="AE53" s="103" t="str">
        <f t="shared" si="10"/>
        <v/>
      </c>
    </row>
    <row r="54" spans="1:31" x14ac:dyDescent="0.4">
      <c r="A54" s="111"/>
      <c r="B54" s="111"/>
      <c r="C54" s="111"/>
      <c r="D54" s="111"/>
      <c r="E54" s="111"/>
      <c r="F54" s="111"/>
      <c r="G54" s="100"/>
      <c r="H54" s="112"/>
      <c r="I54" s="102"/>
      <c r="J54" s="104"/>
      <c r="AA54" s="84" t="str">
        <f t="shared" si="15"/>
        <v/>
      </c>
      <c r="AB54" s="84" t="str">
        <f t="shared" si="13"/>
        <v/>
      </c>
      <c r="AC54" s="84" t="str">
        <f t="shared" si="13"/>
        <v/>
      </c>
      <c r="AD54" s="106" t="e">
        <f t="shared" si="12"/>
        <v>#VALUE!</v>
      </c>
      <c r="AE54" s="103" t="str">
        <f t="shared" si="10"/>
        <v/>
      </c>
    </row>
    <row r="55" spans="1:31" x14ac:dyDescent="0.4">
      <c r="A55" s="111"/>
      <c r="B55" s="111"/>
      <c r="C55" s="111"/>
      <c r="D55" s="111"/>
      <c r="E55" s="111"/>
      <c r="F55" s="111"/>
      <c r="G55" s="111"/>
      <c r="H55" s="112"/>
      <c r="I55" s="102"/>
      <c r="J55" s="98"/>
      <c r="AA55" s="84" t="str">
        <f t="shared" si="15"/>
        <v/>
      </c>
      <c r="AB55" s="84" t="str">
        <f t="shared" si="13"/>
        <v/>
      </c>
      <c r="AC55" s="84" t="str">
        <f t="shared" si="13"/>
        <v/>
      </c>
      <c r="AD55" s="99" t="e">
        <f t="shared" si="12"/>
        <v>#VALUE!</v>
      </c>
      <c r="AE55" s="103" t="str">
        <f t="shared" si="10"/>
        <v/>
      </c>
    </row>
    <row r="56" spans="1:31" ht="27.9" customHeight="1" x14ac:dyDescent="0.4">
      <c r="A56" s="111"/>
      <c r="B56" s="111"/>
      <c r="C56" s="111"/>
      <c r="D56" s="111"/>
      <c r="E56" s="111"/>
      <c r="F56" s="111"/>
      <c r="G56" s="111"/>
      <c r="H56" s="112"/>
      <c r="I56" s="102"/>
      <c r="J56" s="97"/>
      <c r="AA56" s="84" t="str">
        <f t="shared" si="11"/>
        <v/>
      </c>
      <c r="AB56" s="84" t="str">
        <f t="shared" si="13"/>
        <v/>
      </c>
      <c r="AC56" s="84" t="str">
        <f t="shared" si="13"/>
        <v/>
      </c>
      <c r="AD56" s="99" t="e">
        <f t="shared" si="12"/>
        <v>#VALUE!</v>
      </c>
      <c r="AE56" s="103" t="str">
        <f t="shared" si="10"/>
        <v/>
      </c>
    </row>
    <row r="57" spans="1:31" ht="27.75" customHeight="1" x14ac:dyDescent="0.4">
      <c r="A57" s="111"/>
      <c r="B57" s="111"/>
      <c r="C57" s="111"/>
      <c r="D57" s="111"/>
      <c r="E57" s="111"/>
      <c r="F57" s="111"/>
      <c r="G57" s="112"/>
      <c r="H57" s="112"/>
      <c r="I57" s="102"/>
      <c r="J57" s="104"/>
      <c r="AA57" s="84" t="str">
        <f t="shared" si="11"/>
        <v/>
      </c>
      <c r="AB57" s="84" t="str">
        <f t="shared" si="13"/>
        <v/>
      </c>
      <c r="AC57" s="84" t="str">
        <f t="shared" si="13"/>
        <v/>
      </c>
      <c r="AD57" s="106" t="e">
        <f t="shared" si="12"/>
        <v>#VALUE!</v>
      </c>
      <c r="AE57" s="103" t="str">
        <f t="shared" si="10"/>
        <v/>
      </c>
    </row>
    <row r="58" spans="1:31" x14ac:dyDescent="0.4">
      <c r="A58" s="111"/>
      <c r="B58" s="111"/>
      <c r="C58" s="111"/>
      <c r="D58" s="111"/>
      <c r="E58" s="111"/>
      <c r="F58" s="111"/>
      <c r="G58" s="111"/>
      <c r="H58" s="112"/>
      <c r="I58" s="102"/>
      <c r="J58" s="104"/>
      <c r="AA58" s="84" t="str">
        <f t="shared" si="11"/>
        <v/>
      </c>
      <c r="AB58" s="84" t="str">
        <f t="shared" si="13"/>
        <v/>
      </c>
      <c r="AC58" s="84" t="str">
        <f t="shared" si="13"/>
        <v/>
      </c>
      <c r="AD58" s="106" t="e">
        <f t="shared" si="12"/>
        <v>#VALUE!</v>
      </c>
      <c r="AE58" s="103" t="str">
        <f t="shared" si="10"/>
        <v/>
      </c>
    </row>
    <row r="59" spans="1:31" x14ac:dyDescent="0.4">
      <c r="A59" s="111"/>
      <c r="B59" s="111"/>
      <c r="C59" s="111"/>
      <c r="D59" s="111"/>
      <c r="E59" s="111"/>
      <c r="F59" s="111"/>
      <c r="G59" s="111"/>
      <c r="H59" s="112"/>
      <c r="I59" s="102"/>
      <c r="J59" s="104"/>
      <c r="AA59" s="84" t="str">
        <f t="shared" ref="AA59:AA82" si="16">IF(A59=0,"",A59)</f>
        <v/>
      </c>
      <c r="AB59" s="84" t="str">
        <f t="shared" si="13"/>
        <v/>
      </c>
      <c r="AC59" s="84" t="str">
        <f t="shared" si="13"/>
        <v/>
      </c>
      <c r="AD59" s="106" t="e">
        <f t="shared" si="12"/>
        <v>#VALUE!</v>
      </c>
      <c r="AE59" s="103" t="str">
        <f t="shared" si="10"/>
        <v/>
      </c>
    </row>
    <row r="60" spans="1:31" ht="27.75" customHeight="1" x14ac:dyDescent="0.4">
      <c r="A60" s="111"/>
      <c r="B60" s="111"/>
      <c r="C60" s="111"/>
      <c r="D60" s="111"/>
      <c r="E60" s="111"/>
      <c r="F60" s="111"/>
      <c r="G60" s="111"/>
      <c r="H60" s="112"/>
      <c r="I60" s="102"/>
      <c r="J60" s="104"/>
      <c r="AA60" s="84" t="str">
        <f t="shared" si="16"/>
        <v/>
      </c>
      <c r="AB60" s="84" t="str">
        <f t="shared" si="13"/>
        <v/>
      </c>
      <c r="AC60" s="84" t="str">
        <f t="shared" si="13"/>
        <v/>
      </c>
      <c r="AD60" s="106" t="e">
        <f t="shared" si="12"/>
        <v>#VALUE!</v>
      </c>
      <c r="AE60" s="103" t="str">
        <f t="shared" si="10"/>
        <v/>
      </c>
    </row>
    <row r="61" spans="1:31" ht="27.9" customHeight="1" x14ac:dyDescent="0.4">
      <c r="A61" s="111"/>
      <c r="B61" s="111"/>
      <c r="C61" s="111"/>
      <c r="D61" s="111"/>
      <c r="E61" s="111"/>
      <c r="F61" s="111"/>
      <c r="G61" s="111"/>
      <c r="H61" s="112"/>
      <c r="I61" s="102"/>
      <c r="J61" s="104"/>
      <c r="AA61" s="84" t="str">
        <f t="shared" si="16"/>
        <v/>
      </c>
      <c r="AB61" s="84" t="str">
        <f t="shared" si="13"/>
        <v/>
      </c>
      <c r="AC61" s="84" t="str">
        <f t="shared" si="13"/>
        <v/>
      </c>
      <c r="AD61" s="106" t="e">
        <f t="shared" si="12"/>
        <v>#VALUE!</v>
      </c>
      <c r="AE61" s="103" t="str">
        <f t="shared" si="10"/>
        <v/>
      </c>
    </row>
    <row r="62" spans="1:31" x14ac:dyDescent="0.4">
      <c r="A62" s="111"/>
      <c r="B62" s="111"/>
      <c r="C62" s="111"/>
      <c r="D62" s="111"/>
      <c r="E62" s="111"/>
      <c r="F62" s="111"/>
      <c r="G62" s="111"/>
      <c r="H62" s="112"/>
      <c r="I62" s="102"/>
      <c r="J62" s="104"/>
      <c r="AA62" s="84" t="str">
        <f t="shared" si="16"/>
        <v/>
      </c>
      <c r="AB62" s="84" t="str">
        <f t="shared" ref="AB62:AC81" si="17">IF($AA62="","",HLOOKUP(AB$1,$A:$Z,ROW($AA62),FALSE))</f>
        <v/>
      </c>
      <c r="AC62" s="84" t="str">
        <f t="shared" si="17"/>
        <v/>
      </c>
      <c r="AD62" s="106" t="e">
        <f t="shared" si="12"/>
        <v>#VALUE!</v>
      </c>
      <c r="AE62" s="103" t="str">
        <f t="shared" si="10"/>
        <v/>
      </c>
    </row>
    <row r="63" spans="1:31" x14ac:dyDescent="0.4">
      <c r="A63" s="111"/>
      <c r="B63" s="111"/>
      <c r="C63" s="111"/>
      <c r="D63" s="111"/>
      <c r="E63" s="111"/>
      <c r="F63" s="111"/>
      <c r="G63" s="111"/>
      <c r="H63" s="112"/>
      <c r="I63" s="102"/>
      <c r="J63" s="104"/>
      <c r="AA63" s="84" t="str">
        <f t="shared" si="16"/>
        <v/>
      </c>
      <c r="AB63" s="84" t="str">
        <f t="shared" si="17"/>
        <v/>
      </c>
      <c r="AC63" s="84" t="str">
        <f t="shared" si="17"/>
        <v/>
      </c>
      <c r="AD63" s="106" t="e">
        <f t="shared" si="12"/>
        <v>#VALUE!</v>
      </c>
      <c r="AE63" s="103" t="str">
        <f t="shared" si="10"/>
        <v/>
      </c>
    </row>
    <row r="64" spans="1:31" x14ac:dyDescent="0.4">
      <c r="A64" s="111"/>
      <c r="B64" s="111"/>
      <c r="C64" s="111"/>
      <c r="D64" s="111"/>
      <c r="E64" s="111"/>
      <c r="F64" s="111"/>
      <c r="G64" s="111"/>
      <c r="H64" s="112"/>
      <c r="I64" s="102"/>
      <c r="J64" s="104"/>
      <c r="AA64" s="84" t="str">
        <f t="shared" si="16"/>
        <v/>
      </c>
      <c r="AB64" s="84" t="str">
        <f t="shared" si="17"/>
        <v/>
      </c>
      <c r="AC64" s="84" t="str">
        <f t="shared" si="17"/>
        <v/>
      </c>
      <c r="AD64" s="106" t="e">
        <f t="shared" si="12"/>
        <v>#VALUE!</v>
      </c>
      <c r="AE64" s="103" t="str">
        <f t="shared" si="10"/>
        <v/>
      </c>
    </row>
    <row r="65" spans="1:31" x14ac:dyDescent="0.4">
      <c r="A65" s="111"/>
      <c r="B65" s="111"/>
      <c r="C65" s="111"/>
      <c r="D65" s="111"/>
      <c r="E65" s="111"/>
      <c r="F65" s="111"/>
      <c r="G65" s="111"/>
      <c r="H65" s="112"/>
      <c r="I65" s="102"/>
      <c r="J65" s="104"/>
      <c r="AA65" s="84" t="str">
        <f t="shared" si="16"/>
        <v/>
      </c>
      <c r="AB65" s="84" t="str">
        <f t="shared" si="17"/>
        <v/>
      </c>
      <c r="AC65" s="84" t="str">
        <f t="shared" si="17"/>
        <v/>
      </c>
      <c r="AD65" s="99" t="e">
        <f t="shared" si="12"/>
        <v>#VALUE!</v>
      </c>
      <c r="AE65" s="103" t="str">
        <f t="shared" si="10"/>
        <v/>
      </c>
    </row>
    <row r="66" spans="1:31" ht="27.9" customHeight="1" x14ac:dyDescent="0.4">
      <c r="A66" s="111"/>
      <c r="B66" s="111"/>
      <c r="C66" s="111"/>
      <c r="D66" s="111"/>
      <c r="E66" s="111"/>
      <c r="F66" s="111"/>
      <c r="G66" s="111"/>
      <c r="H66" s="112"/>
      <c r="I66" s="102"/>
      <c r="J66" s="104"/>
      <c r="AA66" s="84" t="str">
        <f t="shared" si="16"/>
        <v/>
      </c>
      <c r="AB66" s="84" t="str">
        <f t="shared" si="17"/>
        <v/>
      </c>
      <c r="AC66" s="84" t="str">
        <f t="shared" si="17"/>
        <v/>
      </c>
      <c r="AD66" s="99" t="e">
        <f t="shared" ref="AD66:AD86" si="18">ROUND(IF($AA66="","",ROUND(VALUE(SUBSTITUTE(SUBSTITUTE(HLOOKUP(AD$1,$A:$Z,ROW($AA66),FALSE),"₩","")," ",""))*$Z$1,0)),-2)</f>
        <v>#VALUE!</v>
      </c>
      <c r="AE66" s="103" t="str">
        <f t="shared" ref="AE66:AE82" si="19">IF($AA66="","",HLOOKUP(AE$1,$A:$Z,ROW($AA66),FALSE))</f>
        <v/>
      </c>
    </row>
    <row r="67" spans="1:31" ht="27.9" customHeight="1" x14ac:dyDescent="0.4">
      <c r="A67" s="111"/>
      <c r="B67" s="111"/>
      <c r="C67" s="111"/>
      <c r="D67" s="111"/>
      <c r="E67" s="111"/>
      <c r="F67" s="111"/>
      <c r="G67" s="111"/>
      <c r="H67" s="112"/>
      <c r="I67" s="102"/>
      <c r="J67" s="104"/>
      <c r="AA67" s="84" t="str">
        <f t="shared" si="16"/>
        <v/>
      </c>
      <c r="AB67" s="84" t="str">
        <f t="shared" si="17"/>
        <v/>
      </c>
      <c r="AC67" s="84" t="str">
        <f t="shared" si="17"/>
        <v/>
      </c>
      <c r="AD67" s="99" t="e">
        <f t="shared" si="18"/>
        <v>#VALUE!</v>
      </c>
      <c r="AE67" s="103" t="str">
        <f t="shared" si="19"/>
        <v/>
      </c>
    </row>
    <row r="68" spans="1:31" x14ac:dyDescent="0.4">
      <c r="A68" s="111"/>
      <c r="B68" s="111"/>
      <c r="C68" s="111"/>
      <c r="D68" s="111"/>
      <c r="E68" s="111"/>
      <c r="F68" s="111"/>
      <c r="G68" s="111"/>
      <c r="H68" s="112"/>
      <c r="I68" s="102"/>
      <c r="J68" s="104"/>
      <c r="AA68" s="84" t="str">
        <f t="shared" si="16"/>
        <v/>
      </c>
      <c r="AB68" s="84" t="str">
        <f t="shared" si="17"/>
        <v/>
      </c>
      <c r="AC68" s="84" t="str">
        <f t="shared" si="17"/>
        <v/>
      </c>
      <c r="AD68" s="99" t="e">
        <f t="shared" si="18"/>
        <v>#VALUE!</v>
      </c>
      <c r="AE68" s="103" t="str">
        <f t="shared" si="19"/>
        <v/>
      </c>
    </row>
    <row r="69" spans="1:31" x14ac:dyDescent="0.4">
      <c r="A69" s="111"/>
      <c r="B69" s="111"/>
      <c r="C69" s="111"/>
      <c r="D69" s="111"/>
      <c r="E69" s="111"/>
      <c r="F69" s="111"/>
      <c r="G69" s="111"/>
      <c r="H69" s="112"/>
      <c r="I69" s="102"/>
      <c r="J69" s="105"/>
      <c r="AA69" s="84" t="str">
        <f t="shared" si="16"/>
        <v/>
      </c>
      <c r="AB69" s="84" t="str">
        <f t="shared" si="17"/>
        <v/>
      </c>
      <c r="AC69" s="84" t="str">
        <f t="shared" si="17"/>
        <v/>
      </c>
      <c r="AD69" s="99" t="e">
        <f t="shared" si="18"/>
        <v>#VALUE!</v>
      </c>
      <c r="AE69" s="103" t="str">
        <f t="shared" si="19"/>
        <v/>
      </c>
    </row>
    <row r="70" spans="1:31" x14ac:dyDescent="0.4">
      <c r="A70" s="111"/>
      <c r="B70" s="92"/>
      <c r="C70" s="92"/>
      <c r="D70" s="92"/>
      <c r="E70" s="92"/>
      <c r="F70" s="92"/>
      <c r="G70" s="92"/>
      <c r="H70" s="101"/>
      <c r="I70" s="102"/>
      <c r="J70" s="104"/>
      <c r="AA70" s="84" t="str">
        <f t="shared" si="16"/>
        <v/>
      </c>
      <c r="AB70" s="84" t="str">
        <f t="shared" si="17"/>
        <v/>
      </c>
      <c r="AC70" s="84" t="str">
        <f t="shared" si="17"/>
        <v/>
      </c>
      <c r="AD70" s="99" t="e">
        <f t="shared" si="18"/>
        <v>#VALUE!</v>
      </c>
      <c r="AE70" s="103" t="str">
        <f t="shared" si="19"/>
        <v/>
      </c>
    </row>
    <row r="71" spans="1:31" x14ac:dyDescent="0.4">
      <c r="A71" s="111"/>
      <c r="B71" s="92"/>
      <c r="C71" s="92"/>
      <c r="D71" s="92"/>
      <c r="E71" s="92"/>
      <c r="F71" s="92"/>
      <c r="G71" s="92"/>
      <c r="H71" s="101"/>
      <c r="I71" s="102"/>
      <c r="J71" s="104"/>
      <c r="AA71" s="84" t="str">
        <f t="shared" si="16"/>
        <v/>
      </c>
      <c r="AB71" s="84" t="str">
        <f t="shared" si="17"/>
        <v/>
      </c>
      <c r="AC71" s="84" t="str">
        <f t="shared" si="17"/>
        <v/>
      </c>
      <c r="AD71" s="99" t="e">
        <f t="shared" si="18"/>
        <v>#VALUE!</v>
      </c>
      <c r="AE71" s="103" t="str">
        <f t="shared" si="19"/>
        <v/>
      </c>
    </row>
    <row r="72" spans="1:31" x14ac:dyDescent="0.4">
      <c r="A72" s="111"/>
      <c r="B72" s="92"/>
      <c r="C72" s="92"/>
      <c r="D72" s="92"/>
      <c r="E72" s="92"/>
      <c r="F72" s="92"/>
      <c r="G72" s="92"/>
      <c r="H72" s="101"/>
      <c r="I72" s="102"/>
      <c r="J72" s="105"/>
      <c r="AA72" s="84" t="str">
        <f t="shared" si="16"/>
        <v/>
      </c>
      <c r="AB72" s="84" t="str">
        <f t="shared" si="17"/>
        <v/>
      </c>
      <c r="AC72" s="84" t="str">
        <f t="shared" si="17"/>
        <v/>
      </c>
      <c r="AD72" s="99" t="e">
        <f t="shared" si="18"/>
        <v>#VALUE!</v>
      </c>
      <c r="AE72" s="103" t="str">
        <f t="shared" si="19"/>
        <v/>
      </c>
    </row>
    <row r="73" spans="1:31" ht="27.9" customHeight="1" x14ac:dyDescent="0.4">
      <c r="A73" s="111"/>
      <c r="B73" s="92"/>
      <c r="C73" s="92"/>
      <c r="D73" s="92"/>
      <c r="E73" s="92"/>
      <c r="F73" s="92"/>
      <c r="G73" s="92"/>
      <c r="H73" s="101"/>
      <c r="I73" s="102"/>
      <c r="J73" s="98"/>
      <c r="AA73" s="84" t="str">
        <f t="shared" si="16"/>
        <v/>
      </c>
      <c r="AB73" s="84" t="str">
        <f t="shared" si="17"/>
        <v/>
      </c>
      <c r="AC73" s="84" t="str">
        <f t="shared" si="17"/>
        <v/>
      </c>
      <c r="AD73" s="99" t="e">
        <f t="shared" si="18"/>
        <v>#VALUE!</v>
      </c>
      <c r="AE73" s="103" t="str">
        <f t="shared" si="19"/>
        <v/>
      </c>
    </row>
    <row r="74" spans="1:31" ht="27.9" customHeight="1" x14ac:dyDescent="0.4">
      <c r="A74" s="111"/>
      <c r="B74" s="92"/>
      <c r="C74" s="92"/>
      <c r="D74" s="92"/>
      <c r="E74" s="92"/>
      <c r="F74" s="92"/>
      <c r="G74" s="92"/>
      <c r="H74" s="101"/>
      <c r="I74" s="102"/>
      <c r="J74" s="97"/>
      <c r="AA74" s="84" t="str">
        <f t="shared" si="16"/>
        <v/>
      </c>
      <c r="AB74" s="84" t="str">
        <f t="shared" si="17"/>
        <v/>
      </c>
      <c r="AC74" s="84" t="str">
        <f t="shared" si="17"/>
        <v/>
      </c>
      <c r="AD74" s="99" t="e">
        <f t="shared" si="18"/>
        <v>#VALUE!</v>
      </c>
      <c r="AE74" s="103" t="str">
        <f t="shared" si="19"/>
        <v/>
      </c>
    </row>
    <row r="75" spans="1:31" x14ac:dyDescent="0.4">
      <c r="A75" s="111"/>
      <c r="B75" s="92"/>
      <c r="C75" s="92"/>
      <c r="D75" s="92"/>
      <c r="E75" s="92"/>
      <c r="F75" s="92"/>
      <c r="G75" s="92"/>
      <c r="H75" s="101"/>
      <c r="I75" s="102"/>
      <c r="J75" s="105"/>
      <c r="AA75" s="84" t="str">
        <f t="shared" si="16"/>
        <v/>
      </c>
      <c r="AB75" s="84" t="str">
        <f t="shared" si="17"/>
        <v/>
      </c>
      <c r="AC75" s="84" t="str">
        <f t="shared" si="17"/>
        <v/>
      </c>
      <c r="AD75" s="99" t="e">
        <f t="shared" si="18"/>
        <v>#VALUE!</v>
      </c>
      <c r="AE75" s="103" t="str">
        <f t="shared" si="19"/>
        <v/>
      </c>
    </row>
    <row r="76" spans="1:31" x14ac:dyDescent="0.4">
      <c r="A76" s="111"/>
      <c r="B76" s="92"/>
      <c r="C76" s="92"/>
      <c r="D76" s="92"/>
      <c r="E76" s="92"/>
      <c r="F76" s="92"/>
      <c r="G76" s="92"/>
      <c r="H76" s="101"/>
      <c r="I76" s="102"/>
      <c r="J76" s="97"/>
      <c r="AA76" s="84" t="str">
        <f t="shared" si="16"/>
        <v/>
      </c>
      <c r="AB76" s="84" t="str">
        <f t="shared" si="17"/>
        <v/>
      </c>
      <c r="AC76" s="84" t="str">
        <f t="shared" si="17"/>
        <v/>
      </c>
      <c r="AD76" s="99" t="e">
        <f t="shared" si="18"/>
        <v>#VALUE!</v>
      </c>
      <c r="AE76" s="103" t="str">
        <f t="shared" si="19"/>
        <v/>
      </c>
    </row>
    <row r="77" spans="1:31" x14ac:dyDescent="0.4">
      <c r="A77" s="111"/>
      <c r="B77" s="92"/>
      <c r="C77" s="92"/>
      <c r="D77" s="92"/>
      <c r="E77" s="92"/>
      <c r="F77" s="92"/>
      <c r="G77" s="92"/>
      <c r="H77" s="101"/>
      <c r="I77" s="102"/>
      <c r="J77" s="97"/>
      <c r="AA77" s="84" t="str">
        <f t="shared" si="16"/>
        <v/>
      </c>
      <c r="AB77" s="84" t="str">
        <f t="shared" si="17"/>
        <v/>
      </c>
      <c r="AC77" s="84" t="str">
        <f t="shared" si="17"/>
        <v/>
      </c>
      <c r="AD77" s="99" t="e">
        <f t="shared" si="18"/>
        <v>#VALUE!</v>
      </c>
      <c r="AE77" s="103" t="str">
        <f t="shared" si="19"/>
        <v/>
      </c>
    </row>
    <row r="78" spans="1:31" x14ac:dyDescent="0.4">
      <c r="A78" s="111"/>
      <c r="B78" s="92"/>
      <c r="C78" s="92"/>
      <c r="D78" s="92"/>
      <c r="E78" s="92"/>
      <c r="F78" s="92"/>
      <c r="G78" s="92"/>
      <c r="H78" s="93"/>
      <c r="I78" s="102"/>
      <c r="J78" s="98"/>
      <c r="AA78" s="84" t="str">
        <f t="shared" si="16"/>
        <v/>
      </c>
      <c r="AB78" s="84" t="str">
        <f t="shared" si="17"/>
        <v/>
      </c>
      <c r="AC78" s="84" t="str">
        <f t="shared" si="17"/>
        <v/>
      </c>
      <c r="AD78" s="99" t="e">
        <f t="shared" si="18"/>
        <v>#VALUE!</v>
      </c>
      <c r="AE78" s="103" t="str">
        <f t="shared" si="19"/>
        <v/>
      </c>
    </row>
    <row r="79" spans="1:31" ht="27.9" customHeight="1" x14ac:dyDescent="0.4">
      <c r="A79" s="111"/>
      <c r="B79" s="92"/>
      <c r="C79" s="92"/>
      <c r="D79" s="92"/>
      <c r="E79" s="92"/>
      <c r="F79" s="92"/>
      <c r="G79" s="92"/>
      <c r="H79" s="93"/>
      <c r="I79" s="102"/>
      <c r="J79" s="97"/>
      <c r="AA79" s="84" t="str">
        <f t="shared" si="16"/>
        <v/>
      </c>
      <c r="AB79" s="84" t="str">
        <f t="shared" si="17"/>
        <v/>
      </c>
      <c r="AC79" s="84" t="str">
        <f t="shared" si="17"/>
        <v/>
      </c>
      <c r="AD79" s="99" t="e">
        <f t="shared" si="18"/>
        <v>#VALUE!</v>
      </c>
      <c r="AE79" s="103" t="str">
        <f t="shared" si="19"/>
        <v/>
      </c>
    </row>
    <row r="80" spans="1:31" ht="27.9" customHeight="1" x14ac:dyDescent="0.4">
      <c r="A80" s="111"/>
      <c r="B80" s="92"/>
      <c r="C80" s="92"/>
      <c r="D80" s="92"/>
      <c r="E80" s="92"/>
      <c r="F80" s="92"/>
      <c r="G80" s="92"/>
      <c r="H80" s="93"/>
      <c r="I80" s="102"/>
      <c r="J80" s="97"/>
      <c r="AA80" s="84" t="str">
        <f t="shared" si="16"/>
        <v/>
      </c>
      <c r="AB80" s="84" t="str">
        <f t="shared" si="17"/>
        <v/>
      </c>
      <c r="AC80" s="84" t="str">
        <f t="shared" si="17"/>
        <v/>
      </c>
      <c r="AD80" s="99" t="e">
        <f t="shared" si="18"/>
        <v>#VALUE!</v>
      </c>
      <c r="AE80" s="84" t="str">
        <f t="shared" si="19"/>
        <v/>
      </c>
    </row>
    <row r="81" spans="1:31" x14ac:dyDescent="0.4">
      <c r="A81" s="111"/>
      <c r="B81" s="92"/>
      <c r="C81" s="92"/>
      <c r="D81" s="92"/>
      <c r="E81" s="92"/>
      <c r="F81" s="92"/>
      <c r="G81" s="114"/>
      <c r="H81" s="93"/>
      <c r="I81" s="94"/>
      <c r="J81" s="97"/>
      <c r="AA81" s="84" t="str">
        <f t="shared" si="16"/>
        <v/>
      </c>
      <c r="AB81" s="84" t="str">
        <f t="shared" si="17"/>
        <v/>
      </c>
      <c r="AC81" s="84" t="str">
        <f t="shared" si="17"/>
        <v/>
      </c>
      <c r="AD81" s="99" t="e">
        <f t="shared" si="18"/>
        <v>#VALUE!</v>
      </c>
      <c r="AE81" s="84" t="str">
        <f t="shared" si="19"/>
        <v/>
      </c>
    </row>
    <row r="82" spans="1:31" x14ac:dyDescent="0.4">
      <c r="A82" s="111"/>
      <c r="B82" s="92"/>
      <c r="C82" s="92"/>
      <c r="D82" s="92"/>
      <c r="E82" s="92"/>
      <c r="F82" s="92"/>
      <c r="G82" s="92"/>
      <c r="H82" s="101"/>
      <c r="I82" s="102"/>
      <c r="J82" s="97"/>
      <c r="AA82" s="84" t="str">
        <f t="shared" si="16"/>
        <v/>
      </c>
      <c r="AB82" s="84" t="str">
        <f t="shared" ref="AB82:AC82" si="20">IF($AA82="","",HLOOKUP(AB$1,$A:$Z,ROW($AA82),FALSE))</f>
        <v/>
      </c>
      <c r="AC82" s="84" t="str">
        <f t="shared" si="20"/>
        <v/>
      </c>
      <c r="AD82" s="99" t="e">
        <f t="shared" si="18"/>
        <v>#VALUE!</v>
      </c>
      <c r="AE82" s="84" t="str">
        <f t="shared" si="19"/>
        <v/>
      </c>
    </row>
    <row r="83" spans="1:31" x14ac:dyDescent="0.4">
      <c r="A83" s="100"/>
      <c r="B83" s="92"/>
      <c r="C83" s="92"/>
      <c r="D83" s="92"/>
      <c r="E83" s="92"/>
      <c r="F83" s="92"/>
      <c r="G83" s="92"/>
      <c r="H83" s="93"/>
      <c r="I83" s="102"/>
      <c r="J83" s="98"/>
      <c r="AA83" s="84"/>
      <c r="AB83" s="84"/>
      <c r="AC83" s="84"/>
      <c r="AD83" s="99" t="e">
        <f t="shared" si="18"/>
        <v>#VALUE!</v>
      </c>
      <c r="AE83" s="103"/>
    </row>
    <row r="84" spans="1:31" ht="27.9" customHeight="1" x14ac:dyDescent="0.4">
      <c r="A84" s="100"/>
      <c r="B84" s="92"/>
      <c r="C84" s="92"/>
      <c r="D84" s="92"/>
      <c r="E84" s="92"/>
      <c r="F84" s="92"/>
      <c r="G84" s="92"/>
      <c r="H84" s="93"/>
      <c r="I84" s="102"/>
      <c r="J84" s="97"/>
      <c r="AA84" s="84"/>
      <c r="AB84" s="84"/>
      <c r="AC84" s="84"/>
      <c r="AD84" s="99" t="e">
        <f t="shared" si="18"/>
        <v>#VALUE!</v>
      </c>
      <c r="AE84" s="103"/>
    </row>
    <row r="85" spans="1:31" ht="27.9" customHeight="1" x14ac:dyDescent="0.4">
      <c r="A85" s="100"/>
      <c r="B85" s="92"/>
      <c r="C85" s="92"/>
      <c r="D85" s="92"/>
      <c r="E85" s="92"/>
      <c r="F85" s="92"/>
      <c r="G85" s="92"/>
      <c r="H85" s="93"/>
      <c r="I85" s="102"/>
      <c r="J85" s="97"/>
      <c r="AA85" s="84"/>
      <c r="AB85" s="84"/>
      <c r="AC85" s="84"/>
      <c r="AD85" s="99" t="e">
        <f t="shared" si="18"/>
        <v>#VALUE!</v>
      </c>
      <c r="AE85" s="84"/>
    </row>
    <row r="86" spans="1:31" x14ac:dyDescent="0.4">
      <c r="A86" s="92"/>
      <c r="B86" s="92"/>
      <c r="C86" s="92"/>
      <c r="D86" s="92"/>
      <c r="E86" s="92"/>
      <c r="F86" s="92"/>
      <c r="G86" s="92"/>
      <c r="H86" s="93"/>
      <c r="I86" s="94"/>
      <c r="J86" s="97"/>
      <c r="AA86" s="84"/>
      <c r="AB86" s="84"/>
      <c r="AC86" s="84"/>
      <c r="AD86" s="99" t="e">
        <f t="shared" si="18"/>
        <v>#VALUE!</v>
      </c>
      <c r="AE86" s="84"/>
    </row>
  </sheetData>
  <phoneticPr fontId="17" type="noConversion"/>
  <conditionalFormatting sqref="G1">
    <cfRule type="duplicateValues" dxfId="117" priority="2889"/>
  </conditionalFormatting>
  <conditionalFormatting sqref="G79:G81">
    <cfRule type="duplicateValues" dxfId="116" priority="1300"/>
  </conditionalFormatting>
  <conditionalFormatting sqref="G79:G80">
    <cfRule type="duplicateValues" dxfId="115" priority="1299"/>
  </conditionalFormatting>
  <conditionalFormatting sqref="G79:G80">
    <cfRule type="duplicateValues" dxfId="114" priority="1298"/>
  </conditionalFormatting>
  <conditionalFormatting sqref="G79:G80">
    <cfRule type="duplicateValues" dxfId="113" priority="1297"/>
  </conditionalFormatting>
  <conditionalFormatting sqref="G79:G80">
    <cfRule type="duplicateValues" dxfId="112" priority="1296"/>
  </conditionalFormatting>
  <conditionalFormatting sqref="G79:G80">
    <cfRule type="duplicateValues" dxfId="111" priority="1295"/>
  </conditionalFormatting>
  <conditionalFormatting sqref="G79:G80">
    <cfRule type="duplicateValues" dxfId="110" priority="1294"/>
  </conditionalFormatting>
  <conditionalFormatting sqref="G81">
    <cfRule type="duplicateValues" dxfId="109" priority="1293"/>
  </conditionalFormatting>
  <conditionalFormatting sqref="G81">
    <cfRule type="duplicateValues" dxfId="108" priority="1292"/>
  </conditionalFormatting>
  <conditionalFormatting sqref="G81">
    <cfRule type="duplicateValues" dxfId="107" priority="1291"/>
  </conditionalFormatting>
  <conditionalFormatting sqref="G81">
    <cfRule type="duplicateValues" dxfId="106" priority="1290"/>
  </conditionalFormatting>
  <conditionalFormatting sqref="G81">
    <cfRule type="duplicateValues" dxfId="105" priority="1289"/>
  </conditionalFormatting>
  <conditionalFormatting sqref="G81">
    <cfRule type="duplicateValues" dxfId="104" priority="1288"/>
  </conditionalFormatting>
  <conditionalFormatting sqref="G75:G78">
    <cfRule type="duplicateValues" dxfId="103" priority="1287"/>
  </conditionalFormatting>
  <conditionalFormatting sqref="G75:G76">
    <cfRule type="duplicateValues" dxfId="102" priority="1286"/>
  </conditionalFormatting>
  <conditionalFormatting sqref="G75:G76">
    <cfRule type="duplicateValues" dxfId="101" priority="1285"/>
  </conditionalFormatting>
  <conditionalFormatting sqref="G75:G76">
    <cfRule type="duplicateValues" dxfId="100" priority="1284"/>
  </conditionalFormatting>
  <conditionalFormatting sqref="G75:G76">
    <cfRule type="duplicateValues" dxfId="99" priority="1283"/>
  </conditionalFormatting>
  <conditionalFormatting sqref="G75:G76">
    <cfRule type="duplicateValues" dxfId="98" priority="1282"/>
  </conditionalFormatting>
  <conditionalFormatting sqref="G75:G76">
    <cfRule type="duplicateValues" dxfId="97" priority="1281"/>
  </conditionalFormatting>
  <conditionalFormatting sqref="G77:G78">
    <cfRule type="duplicateValues" dxfId="96" priority="1280"/>
  </conditionalFormatting>
  <conditionalFormatting sqref="G77:G78">
    <cfRule type="duplicateValues" dxfId="95" priority="1279"/>
  </conditionalFormatting>
  <conditionalFormatting sqref="G77:G78">
    <cfRule type="duplicateValues" dxfId="94" priority="1278"/>
  </conditionalFormatting>
  <conditionalFormatting sqref="G77:G78">
    <cfRule type="duplicateValues" dxfId="93" priority="1277"/>
  </conditionalFormatting>
  <conditionalFormatting sqref="G77:G78">
    <cfRule type="duplicateValues" dxfId="92" priority="1276"/>
  </conditionalFormatting>
  <conditionalFormatting sqref="G77:G78">
    <cfRule type="duplicateValues" dxfId="91" priority="1275"/>
  </conditionalFormatting>
  <conditionalFormatting sqref="G70">
    <cfRule type="duplicateValues" dxfId="90" priority="1150"/>
  </conditionalFormatting>
  <conditionalFormatting sqref="G70">
    <cfRule type="duplicateValues" dxfId="89" priority="1149"/>
  </conditionalFormatting>
  <conditionalFormatting sqref="G70">
    <cfRule type="duplicateValues" dxfId="88" priority="1148"/>
  </conditionalFormatting>
  <conditionalFormatting sqref="G70">
    <cfRule type="duplicateValues" dxfId="87" priority="1147"/>
  </conditionalFormatting>
  <conditionalFormatting sqref="G70">
    <cfRule type="duplicateValues" dxfId="86" priority="1146"/>
  </conditionalFormatting>
  <conditionalFormatting sqref="G70">
    <cfRule type="duplicateValues" dxfId="85" priority="1145"/>
  </conditionalFormatting>
  <conditionalFormatting sqref="G70">
    <cfRule type="duplicateValues" dxfId="84" priority="1144"/>
  </conditionalFormatting>
  <conditionalFormatting sqref="G71:G73">
    <cfRule type="duplicateValues" dxfId="83" priority="1143"/>
  </conditionalFormatting>
  <conditionalFormatting sqref="G71:G73">
    <cfRule type="duplicateValues" dxfId="82" priority="1142"/>
  </conditionalFormatting>
  <conditionalFormatting sqref="G71:G73">
    <cfRule type="duplicateValues" dxfId="81" priority="1141"/>
  </conditionalFormatting>
  <conditionalFormatting sqref="G71:G73">
    <cfRule type="duplicateValues" dxfId="80" priority="1140"/>
  </conditionalFormatting>
  <conditionalFormatting sqref="G71:G73">
    <cfRule type="duplicateValues" dxfId="79" priority="1139"/>
  </conditionalFormatting>
  <conditionalFormatting sqref="G71:G73">
    <cfRule type="duplicateValues" dxfId="78" priority="1138"/>
  </conditionalFormatting>
  <conditionalFormatting sqref="G71:G73">
    <cfRule type="duplicateValues" dxfId="77" priority="1137"/>
  </conditionalFormatting>
  <conditionalFormatting sqref="G74">
    <cfRule type="duplicateValues" dxfId="76" priority="1136"/>
  </conditionalFormatting>
  <conditionalFormatting sqref="G74">
    <cfRule type="duplicateValues" dxfId="75" priority="1135"/>
  </conditionalFormatting>
  <conditionalFormatting sqref="G74">
    <cfRule type="duplicateValues" dxfId="74" priority="1134"/>
  </conditionalFormatting>
  <conditionalFormatting sqref="G74">
    <cfRule type="duplicateValues" dxfId="73" priority="1133"/>
  </conditionalFormatting>
  <conditionalFormatting sqref="G74">
    <cfRule type="duplicateValues" dxfId="72" priority="1132"/>
  </conditionalFormatting>
  <conditionalFormatting sqref="G74">
    <cfRule type="duplicateValues" dxfId="71" priority="1131"/>
  </conditionalFormatting>
  <conditionalFormatting sqref="G74">
    <cfRule type="duplicateValues" dxfId="70" priority="1130"/>
  </conditionalFormatting>
  <conditionalFormatting sqref="G55:G69">
    <cfRule type="duplicateValues" dxfId="69" priority="263"/>
  </conditionalFormatting>
  <conditionalFormatting sqref="G55:G69">
    <cfRule type="duplicateValues" dxfId="68" priority="257"/>
    <cfRule type="duplicateValues" dxfId="67" priority="258"/>
    <cfRule type="duplicateValues" dxfId="66" priority="259"/>
    <cfRule type="duplicateValues" dxfId="65" priority="260"/>
    <cfRule type="duplicateValues" dxfId="64" priority="261"/>
    <cfRule type="duplicateValues" dxfId="63" priority="262"/>
  </conditionalFormatting>
  <conditionalFormatting sqref="G55:G69">
    <cfRule type="duplicateValues" dxfId="62" priority="253"/>
    <cfRule type="duplicateValues" dxfId="61" priority="254"/>
    <cfRule type="duplicateValues" dxfId="60" priority="255"/>
    <cfRule type="duplicateValues" dxfId="59" priority="256"/>
  </conditionalFormatting>
  <conditionalFormatting sqref="G41:G69">
    <cfRule type="duplicateValues" dxfId="58" priority="251"/>
    <cfRule type="duplicateValues" dxfId="57" priority="252"/>
  </conditionalFormatting>
  <conditionalFormatting sqref="G55:G69">
    <cfRule type="duplicateValues" dxfId="56" priority="264"/>
  </conditionalFormatting>
  <conditionalFormatting sqref="G55:G69">
    <cfRule type="duplicateValues" dxfId="55" priority="268"/>
    <cfRule type="duplicateValues" dxfId="54" priority="269"/>
  </conditionalFormatting>
  <conditionalFormatting sqref="G55:G69">
    <cfRule type="duplicateValues" dxfId="53" priority="266"/>
    <cfRule type="duplicateValues" dxfId="52" priority="267"/>
  </conditionalFormatting>
  <conditionalFormatting sqref="G55:G69">
    <cfRule type="duplicateValues" dxfId="51" priority="265"/>
  </conditionalFormatting>
  <conditionalFormatting sqref="F41:F69">
    <cfRule type="duplicateValues" dxfId="50" priority="250"/>
  </conditionalFormatting>
  <conditionalFormatting sqref="G84:G86">
    <cfRule type="duplicateValues" dxfId="49" priority="249"/>
  </conditionalFormatting>
  <conditionalFormatting sqref="G84:G85">
    <cfRule type="duplicateValues" dxfId="48" priority="248"/>
  </conditionalFormatting>
  <conditionalFormatting sqref="G84:G85">
    <cfRule type="duplicateValues" dxfId="47" priority="247"/>
  </conditionalFormatting>
  <conditionalFormatting sqref="G84:G85">
    <cfRule type="duplicateValues" dxfId="46" priority="246"/>
  </conditionalFormatting>
  <conditionalFormatting sqref="G84:G85">
    <cfRule type="duplicateValues" dxfId="45" priority="245"/>
  </conditionalFormatting>
  <conditionalFormatting sqref="G84:G85">
    <cfRule type="duplicateValues" dxfId="44" priority="244"/>
  </conditionalFormatting>
  <conditionalFormatting sqref="G84:G85">
    <cfRule type="duplicateValues" dxfId="43" priority="243"/>
  </conditionalFormatting>
  <conditionalFormatting sqref="G86">
    <cfRule type="duplicateValues" dxfId="42" priority="242"/>
  </conditionalFormatting>
  <conditionalFormatting sqref="G86">
    <cfRule type="duplicateValues" dxfId="41" priority="241"/>
  </conditionalFormatting>
  <conditionalFormatting sqref="G86">
    <cfRule type="duplicateValues" dxfId="40" priority="240"/>
  </conditionalFormatting>
  <conditionalFormatting sqref="G86">
    <cfRule type="duplicateValues" dxfId="39" priority="239"/>
  </conditionalFormatting>
  <conditionalFormatting sqref="G86">
    <cfRule type="duplicateValues" dxfId="38" priority="238"/>
  </conditionalFormatting>
  <conditionalFormatting sqref="G86">
    <cfRule type="duplicateValues" dxfId="37" priority="237"/>
  </conditionalFormatting>
  <conditionalFormatting sqref="G82:G83">
    <cfRule type="duplicateValues" dxfId="36" priority="236"/>
  </conditionalFormatting>
  <conditionalFormatting sqref="G82:G83">
    <cfRule type="duplicateValues" dxfId="35" priority="235"/>
  </conditionalFormatting>
  <conditionalFormatting sqref="G82:G83">
    <cfRule type="duplicateValues" dxfId="34" priority="234"/>
  </conditionalFormatting>
  <conditionalFormatting sqref="G82:G83">
    <cfRule type="duplicateValues" dxfId="33" priority="233"/>
  </conditionalFormatting>
  <conditionalFormatting sqref="G82:G83">
    <cfRule type="duplicateValues" dxfId="32" priority="232"/>
  </conditionalFormatting>
  <conditionalFormatting sqref="G82:G83">
    <cfRule type="duplicateValues" dxfId="31" priority="231"/>
  </conditionalFormatting>
  <conditionalFormatting sqref="G82:G83">
    <cfRule type="duplicateValues" dxfId="30" priority="230"/>
  </conditionalFormatting>
  <conditionalFormatting sqref="G2:G40">
    <cfRule type="duplicateValues" dxfId="29" priority="28"/>
    <cfRule type="duplicateValues" dxfId="28" priority="29"/>
    <cfRule type="duplicateValues" dxfId="27" priority="30"/>
  </conditionalFormatting>
  <conditionalFormatting sqref="G2:G40">
    <cfRule type="duplicateValues" dxfId="26" priority="27"/>
  </conditionalFormatting>
  <conditionalFormatting sqref="G2:G40">
    <cfRule type="duplicateValues" dxfId="25" priority="23"/>
    <cfRule type="duplicateValues" dxfId="24" priority="24"/>
    <cfRule type="duplicateValues" dxfId="23" priority="25"/>
    <cfRule type="duplicateValues" dxfId="22" priority="26"/>
  </conditionalFormatting>
  <conditionalFormatting sqref="G2:G40">
    <cfRule type="duplicateValues" dxfId="21" priority="22"/>
  </conditionalFormatting>
  <conditionalFormatting sqref="G11:G40">
    <cfRule type="duplicateValues" dxfId="20" priority="15"/>
  </conditionalFormatting>
  <conditionalFormatting sqref="G11:G40">
    <cfRule type="duplicateValues" dxfId="19" priority="9"/>
    <cfRule type="duplicateValues" dxfId="18" priority="10"/>
    <cfRule type="duplicateValues" dxfId="17" priority="11"/>
    <cfRule type="duplicateValues" dxfId="16" priority="12"/>
    <cfRule type="duplicateValues" dxfId="15" priority="13"/>
    <cfRule type="duplicateValues" dxfId="14" priority="14"/>
  </conditionalFormatting>
  <conditionalFormatting sqref="G11:G40">
    <cfRule type="duplicateValues" dxfId="13" priority="5"/>
    <cfRule type="duplicateValues" dxfId="12" priority="6"/>
    <cfRule type="duplicateValues" dxfId="11" priority="7"/>
    <cfRule type="duplicateValues" dxfId="10" priority="8"/>
  </conditionalFormatting>
  <conditionalFormatting sqref="G11:G40">
    <cfRule type="duplicateValues" dxfId="9" priority="1"/>
    <cfRule type="duplicateValues" dxfId="8" priority="2"/>
    <cfRule type="duplicateValues" dxfId="7" priority="3"/>
    <cfRule type="duplicateValues" dxfId="6" priority="4"/>
  </conditionalFormatting>
  <conditionalFormatting sqref="G11:G40">
    <cfRule type="duplicateValues" dxfId="5" priority="16"/>
  </conditionalFormatting>
  <conditionalFormatting sqref="G11:G40">
    <cfRule type="duplicateValues" dxfId="4" priority="20"/>
    <cfRule type="duplicateValues" dxfId="3" priority="21"/>
  </conditionalFormatting>
  <conditionalFormatting sqref="G11:G40">
    <cfRule type="duplicateValues" dxfId="2" priority="18"/>
    <cfRule type="duplicateValues" dxfId="1" priority="19"/>
  </conditionalFormatting>
  <conditionalFormatting sqref="G11:G40">
    <cfRule type="duplicateValues" dxfId="0" priority="1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1">
          <controlPr defaultSize="0" autoLine="0" autoPict="0" r:id="rId5">
            <anchor moveWithCells="1">
              <from>
                <xdr:col>31</xdr:col>
                <xdr:colOff>45720</xdr:colOff>
                <xdr:row>1</xdr:row>
                <xdr:rowOff>0</xdr:rowOff>
              </from>
              <to>
                <xdr:col>31</xdr:col>
                <xdr:colOff>1249680</xdr:colOff>
                <xdr:row>4</xdr:row>
                <xdr:rowOff>190500</xdr:rowOff>
              </to>
            </anchor>
          </controlPr>
        </control>
      </mc:Choice>
      <mc:Fallback>
        <control shapeId="30722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50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 t="s">
        <v>35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 t="str">
        <f>B5</f>
        <v>date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e">
        <f>NUMBERSTRING(G9,1)&amp;"원정    (  \"</f>
        <v>#VALUE!</v>
      </c>
      <c r="D9" s="24"/>
      <c r="E9" s="24"/>
      <c r="F9" s="23"/>
      <c r="G9" s="127" t="e">
        <f>SUM(F20)</f>
        <v>#VALUE!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e">
        <f>NUMBERSTRING(S9,1)&amp;"원정    (  \"</f>
        <v>#VALUE!</v>
      </c>
      <c r="P9" s="24"/>
      <c r="Q9" s="24"/>
      <c r="R9" s="23"/>
      <c r="S9" s="127" t="e">
        <f>SUM(R20)</f>
        <v>#VALUE!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48</v>
      </c>
      <c r="D11" s="132"/>
      <c r="E11" s="34">
        <v>1</v>
      </c>
      <c r="F11" s="35" t="s">
        <v>33</v>
      </c>
      <c r="G11" s="133" t="e">
        <f>E11*F11</f>
        <v>#VALUE!</v>
      </c>
      <c r="H11" s="133"/>
      <c r="I11" s="63" t="e">
        <f>ROUND(SUM(G11*0.1),0)</f>
        <v>#VALUE!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0247#</v>
      </c>
      <c r="P11" s="132"/>
      <c r="Q11" s="67">
        <v>1</v>
      </c>
      <c r="R11" s="35" t="str">
        <f>F11</f>
        <v>cost</v>
      </c>
      <c r="S11" s="133" t="e">
        <f>G11</f>
        <v>#VALUE!</v>
      </c>
      <c r="T11" s="133"/>
      <c r="U11" s="63" t="e">
        <f>I11</f>
        <v>#VALUE!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0</v>
      </c>
      <c r="G19" s="149" t="e">
        <f>SUM(G11:H18)</f>
        <v>#VALUE!</v>
      </c>
      <c r="H19" s="150"/>
      <c r="I19" s="75" t="e">
        <f>SUM(I11:I18)</f>
        <v>#VALUE!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0</v>
      </c>
      <c r="S19" s="149" t="e">
        <f>G19</f>
        <v>#VALUE!</v>
      </c>
      <c r="T19" s="150"/>
      <c r="U19" s="75" t="e">
        <f>I19</f>
        <v>#VALUE!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 t="e">
        <f>+G19+I19</f>
        <v>#VALUE!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 t="e">
        <f>F20</f>
        <v>#VALUE!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 t="s">
        <v>34</v>
      </c>
      <c r="D22" s="145"/>
      <c r="E22" s="145"/>
      <c r="F22" s="51" t="s">
        <v>31</v>
      </c>
      <c r="G22" s="146" t="s">
        <v>49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 t="str">
        <f>C22</f>
        <v>po</v>
      </c>
      <c r="P22" s="145"/>
      <c r="Q22" s="145"/>
      <c r="R22" s="51" t="str">
        <f>F22</f>
        <v>)</v>
      </c>
      <c r="S22" s="146" t="str">
        <f>G22</f>
        <v>kit id</v>
      </c>
      <c r="T22" s="146"/>
      <c r="U22" s="146"/>
      <c r="V22" s="50"/>
    </row>
  </sheetData>
  <mergeCells count="74">
    <mergeCell ref="B2:I2"/>
    <mergeCell ref="N2:U2"/>
    <mergeCell ref="C21:D21"/>
    <mergeCell ref="H21:I21"/>
    <mergeCell ref="O21:P21"/>
    <mergeCell ref="T21:U21"/>
    <mergeCell ref="C17:D17"/>
    <mergeCell ref="G17:H17"/>
    <mergeCell ref="O17:P17"/>
    <mergeCell ref="S17:T17"/>
    <mergeCell ref="C18:D18"/>
    <mergeCell ref="G18:H18"/>
    <mergeCell ref="O18:P18"/>
    <mergeCell ref="S18:T18"/>
    <mergeCell ref="C15:D15"/>
    <mergeCell ref="G15:H15"/>
    <mergeCell ref="C22:E22"/>
    <mergeCell ref="G22:I22"/>
    <mergeCell ref="O22:Q22"/>
    <mergeCell ref="S22:U22"/>
    <mergeCell ref="B19:D19"/>
    <mergeCell ref="G19:H19"/>
    <mergeCell ref="N19:P19"/>
    <mergeCell ref="S19:T19"/>
    <mergeCell ref="C20:D20"/>
    <mergeCell ref="F20:I20"/>
    <mergeCell ref="O20:P20"/>
    <mergeCell ref="R20:U20"/>
    <mergeCell ref="O15:P15"/>
    <mergeCell ref="S15:T15"/>
    <mergeCell ref="C16:D16"/>
    <mergeCell ref="G16:H16"/>
    <mergeCell ref="O16:P16"/>
    <mergeCell ref="S16:T16"/>
    <mergeCell ref="C13:D13"/>
    <mergeCell ref="G13:H13"/>
    <mergeCell ref="O13:P13"/>
    <mergeCell ref="S13:T13"/>
    <mergeCell ref="C14:D14"/>
    <mergeCell ref="G14:H14"/>
    <mergeCell ref="O14:P14"/>
    <mergeCell ref="S14:T14"/>
    <mergeCell ref="C11:D11"/>
    <mergeCell ref="G11:H11"/>
    <mergeCell ref="O11:P11"/>
    <mergeCell ref="S11:T11"/>
    <mergeCell ref="C12:D12"/>
    <mergeCell ref="G12:H12"/>
    <mergeCell ref="O12:P12"/>
    <mergeCell ref="S12:T12"/>
    <mergeCell ref="G9:H9"/>
    <mergeCell ref="S9:T9"/>
    <mergeCell ref="C10:D10"/>
    <mergeCell ref="G10:H10"/>
    <mergeCell ref="O10:P10"/>
    <mergeCell ref="S10:T10"/>
    <mergeCell ref="D6:E6"/>
    <mergeCell ref="F6:I6"/>
    <mergeCell ref="P6:Q6"/>
    <mergeCell ref="R6:U6"/>
    <mergeCell ref="D7:E7"/>
    <mergeCell ref="H7:I7"/>
    <mergeCell ref="P7:Q7"/>
    <mergeCell ref="T7:U7"/>
    <mergeCell ref="T5:U5"/>
    <mergeCell ref="B3:I3"/>
    <mergeCell ref="N3:U3"/>
    <mergeCell ref="D4:E4"/>
    <mergeCell ref="F4:I4"/>
    <mergeCell ref="P4:Q4"/>
    <mergeCell ref="R4:U4"/>
    <mergeCell ref="D5:E5"/>
    <mergeCell ref="H5:I5"/>
    <mergeCell ref="P5:Q5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B61B-B692-4F2E-82B3-9CDEF76FF673}">
  <sheetPr codeName="Sheet3">
    <pageSetUpPr fitToPage="1"/>
  </sheetPr>
  <dimension ref="A1:X22"/>
  <sheetViews>
    <sheetView showZeros="0" tabSelected="1" topLeftCell="A6" zoomScale="85" zoomScaleNormal="85" zoomScaleSheetLayoutView="100" workbookViewId="0">
      <selection activeCell="G22" sqref="G22:I22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164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65" t="s">
        <v>62</v>
      </c>
      <c r="D11" s="166"/>
      <c r="E11" s="34">
        <v>1</v>
      </c>
      <c r="F11" s="167">
        <v>1245900</v>
      </c>
      <c r="G11" s="168">
        <f>E11*F11</f>
        <v>1245900</v>
      </c>
      <c r="H11" s="168"/>
      <c r="I11" s="169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70">
        <v>4522449554</v>
      </c>
      <c r="D22" s="170"/>
      <c r="E22" s="170"/>
      <c r="F22" s="51" t="s">
        <v>31</v>
      </c>
      <c r="G22" s="171">
        <v>221930105</v>
      </c>
      <c r="H22" s="171"/>
      <c r="I22" s="171"/>
      <c r="J22" s="50"/>
      <c r="K22" s="4"/>
      <c r="L22" s="5"/>
      <c r="M22" s="49"/>
      <c r="N22" s="52" t="str">
        <f>B22</f>
        <v>(PO :</v>
      </c>
      <c r="O22" s="145">
        <f>C22</f>
        <v>4522449554</v>
      </c>
      <c r="P22" s="145"/>
      <c r="Q22" s="145"/>
      <c r="R22" s="51" t="str">
        <f>F22</f>
        <v>)</v>
      </c>
      <c r="S22" s="146">
        <f>G22</f>
        <v>221930105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3001F-A4FE-4384-A907-9B2A0B77318E}">
  <sheetPr codeName="Sheet4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사백사십칠만팔백사십원정    (  \</v>
      </c>
      <c r="D9" s="24"/>
      <c r="E9" s="24"/>
      <c r="F9" s="23"/>
      <c r="G9" s="127">
        <f>SUM(F20)</f>
        <v>4470840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사백사십칠만팔백사십원정    (  \</v>
      </c>
      <c r="P9" s="24"/>
      <c r="Q9" s="24"/>
      <c r="R9" s="23"/>
      <c r="S9" s="127">
        <f>SUM(R20)</f>
        <v>4470840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4064400</v>
      </c>
      <c r="G11" s="133">
        <f>E11*F11</f>
        <v>4064400</v>
      </c>
      <c r="H11" s="133"/>
      <c r="I11" s="63">
        <f>ROUND(SUM(G11*0.1),0)</f>
        <v>406440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4064400</v>
      </c>
      <c r="S11" s="133">
        <f>G11</f>
        <v>4064400</v>
      </c>
      <c r="T11" s="133"/>
      <c r="U11" s="63">
        <f>I11</f>
        <v>406440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4064400</v>
      </c>
      <c r="G19" s="149">
        <f>SUM(G11:H18)</f>
        <v>4064400</v>
      </c>
      <c r="H19" s="150"/>
      <c r="I19" s="75">
        <f>SUM(I11:I18)</f>
        <v>406440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4064400</v>
      </c>
      <c r="S19" s="149">
        <f>G19</f>
        <v>4064400</v>
      </c>
      <c r="T19" s="150"/>
      <c r="U19" s="75">
        <f>I19</f>
        <v>406440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4470840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4470840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4522449547</v>
      </c>
      <c r="D22" s="145"/>
      <c r="E22" s="145"/>
      <c r="F22" s="51" t="s">
        <v>31</v>
      </c>
      <c r="G22" s="146">
        <v>133030926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4522449547</v>
      </c>
      <c r="P22" s="145"/>
      <c r="Q22" s="145"/>
      <c r="R22" s="51" t="str">
        <f>F22</f>
        <v>)</v>
      </c>
      <c r="S22" s="146">
        <f>G22</f>
        <v>133030926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CB803-0EA5-4C09-9671-DDDA936FA554}">
  <sheetPr codeName="Sheet5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4522449557</v>
      </c>
      <c r="D22" s="145"/>
      <c r="E22" s="145"/>
      <c r="F22" s="51" t="s">
        <v>31</v>
      </c>
      <c r="G22" s="146">
        <v>225381414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4522449557</v>
      </c>
      <c r="P22" s="145"/>
      <c r="Q22" s="145"/>
      <c r="R22" s="51" t="str">
        <f>F22</f>
        <v>)</v>
      </c>
      <c r="S22" s="146">
        <f>G22</f>
        <v>225381414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1DD6A-B33C-411E-BF97-7ADCFBB3FE7C}">
  <sheetPr codeName="Sheet6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4522449544</v>
      </c>
      <c r="D22" s="145"/>
      <c r="E22" s="145"/>
      <c r="F22" s="51" t="s">
        <v>31</v>
      </c>
      <c r="G22" s="146">
        <v>220511511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4522449544</v>
      </c>
      <c r="P22" s="145"/>
      <c r="Q22" s="145"/>
      <c r="R22" s="51" t="str">
        <f>F22</f>
        <v>)</v>
      </c>
      <c r="S22" s="146">
        <f>G22</f>
        <v>220511511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D7DF-38A2-4223-960B-2689D1AD6F39}">
  <sheetPr codeName="Sheet7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4522449556</v>
      </c>
      <c r="D22" s="145"/>
      <c r="E22" s="145"/>
      <c r="F22" s="51" t="s">
        <v>31</v>
      </c>
      <c r="G22" s="146">
        <v>221930109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4522449556</v>
      </c>
      <c r="P22" s="145"/>
      <c r="Q22" s="145"/>
      <c r="R22" s="51" t="str">
        <f>F22</f>
        <v>)</v>
      </c>
      <c r="S22" s="146">
        <f>G22</f>
        <v>221930109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833E-6FF4-4622-8062-B9A1248C7501}">
  <sheetPr codeName="Sheet8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이백사십이만구천사백육십원정    (  \</v>
      </c>
      <c r="D9" s="24"/>
      <c r="E9" s="24"/>
      <c r="F9" s="23"/>
      <c r="G9" s="127">
        <f>SUM(F20)</f>
        <v>2429460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이백사십이만구천사백육십원정    (  \</v>
      </c>
      <c r="P9" s="24"/>
      <c r="Q9" s="24"/>
      <c r="R9" s="23"/>
      <c r="S9" s="127">
        <f>SUM(R20)</f>
        <v>2429460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2208600</v>
      </c>
      <c r="G11" s="133">
        <f>E11*F11</f>
        <v>2208600</v>
      </c>
      <c r="H11" s="133"/>
      <c r="I11" s="63">
        <f>ROUND(SUM(G11*0.1),0)</f>
        <v>220860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2208600</v>
      </c>
      <c r="S11" s="133">
        <f>G11</f>
        <v>2208600</v>
      </c>
      <c r="T11" s="133"/>
      <c r="U11" s="63">
        <f>I11</f>
        <v>220860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2208600</v>
      </c>
      <c r="G19" s="149">
        <f>SUM(G11:H18)</f>
        <v>2208600</v>
      </c>
      <c r="H19" s="150"/>
      <c r="I19" s="75">
        <f>SUM(I11:I18)</f>
        <v>220860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2208600</v>
      </c>
      <c r="S19" s="149">
        <f>G19</f>
        <v>2208600</v>
      </c>
      <c r="T19" s="150"/>
      <c r="U19" s="75">
        <f>I19</f>
        <v>220860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2429460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2429460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4522449549</v>
      </c>
      <c r="D22" s="145"/>
      <c r="E22" s="145"/>
      <c r="F22" s="51" t="s">
        <v>31</v>
      </c>
      <c r="G22" s="146">
        <v>219351904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4522449549</v>
      </c>
      <c r="P22" s="145"/>
      <c r="Q22" s="145"/>
      <c r="R22" s="51" t="str">
        <f>F22</f>
        <v>)</v>
      </c>
      <c r="S22" s="146">
        <f>G22</f>
        <v>219351904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9C761-98A5-4DD3-8D09-00FD344398D8}">
  <sheetPr codeName="Sheet9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4522449546</v>
      </c>
      <c r="D22" s="145"/>
      <c r="E22" s="145"/>
      <c r="F22" s="51" t="s">
        <v>31</v>
      </c>
      <c r="G22" s="146">
        <v>217959511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4522449546</v>
      </c>
      <c r="P22" s="145"/>
      <c r="Q22" s="145"/>
      <c r="R22" s="51" t="str">
        <f>F22</f>
        <v>)</v>
      </c>
      <c r="S22" s="146">
        <f>G22</f>
        <v>217959511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46C01-4716-4AE4-A8A7-1C35D093AA63}">
  <sheetPr codeName="Sheet10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4522459401</v>
      </c>
      <c r="D22" s="145"/>
      <c r="E22" s="145"/>
      <c r="F22" s="51" t="s">
        <v>31</v>
      </c>
      <c r="G22" s="146">
        <v>217227702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4522459401</v>
      </c>
      <c r="P22" s="145"/>
      <c r="Q22" s="145"/>
      <c r="R22" s="51" t="str">
        <f>F22</f>
        <v>)</v>
      </c>
      <c r="S22" s="146">
        <f>G22</f>
        <v>217227702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4475-F234-4424-A128-C97CA8797A8E}">
  <sheetPr codeName="Sheet11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72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0247-08435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4522459389</v>
      </c>
      <c r="D22" s="145"/>
      <c r="E22" s="145"/>
      <c r="F22" s="51" t="s">
        <v>31</v>
      </c>
      <c r="G22" s="146">
        <v>196455922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4522459389</v>
      </c>
      <c r="P22" s="145"/>
      <c r="Q22" s="145"/>
      <c r="R22" s="51" t="str">
        <f>F22</f>
        <v>)</v>
      </c>
      <c r="S22" s="146">
        <f>G22</f>
        <v>196455922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45AD7-48A2-4807-A50B-491D216513D8}">
  <sheetPr codeName="Sheet12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56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0247-06824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4522520232</v>
      </c>
      <c r="D22" s="145"/>
      <c r="E22" s="145"/>
      <c r="F22" s="51" t="s">
        <v>31</v>
      </c>
      <c r="G22" s="146">
        <v>171156009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4522520232</v>
      </c>
      <c r="P22" s="145"/>
      <c r="Q22" s="145"/>
      <c r="R22" s="51" t="str">
        <f>F22</f>
        <v>)</v>
      </c>
      <c r="S22" s="146">
        <f>G22</f>
        <v>171156009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48E9C-58B0-4AF2-BE42-BD95A81D7A6F}">
  <sheetPr codeName="Sheet13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56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0247-06824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4522520207</v>
      </c>
      <c r="D22" s="145"/>
      <c r="E22" s="145"/>
      <c r="F22" s="51" t="s">
        <v>31</v>
      </c>
      <c r="G22" s="146">
        <v>168846624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4522520207</v>
      </c>
      <c r="P22" s="145"/>
      <c r="Q22" s="145"/>
      <c r="R22" s="51" t="str">
        <f>F22</f>
        <v>)</v>
      </c>
      <c r="S22" s="146">
        <f>G22</f>
        <v>168846624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240B3-2323-4E80-A8EE-9B1B46008817}">
  <sheetPr codeName="Sheet14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56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0247-06824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4522520209</v>
      </c>
      <c r="D22" s="145"/>
      <c r="E22" s="145"/>
      <c r="F22" s="51" t="s">
        <v>31</v>
      </c>
      <c r="G22" s="146">
        <v>173426301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4522520209</v>
      </c>
      <c r="P22" s="145"/>
      <c r="Q22" s="145"/>
      <c r="R22" s="51" t="str">
        <f>F22</f>
        <v>)</v>
      </c>
      <c r="S22" s="146">
        <f>G22</f>
        <v>173426301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182F0-2742-4BF5-9CA4-E44F7C2B0B87}">
  <sheetPr codeName="Sheet15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4522546968</v>
      </c>
      <c r="D22" s="145"/>
      <c r="E22" s="145"/>
      <c r="F22" s="51" t="s">
        <v>31</v>
      </c>
      <c r="G22" s="146">
        <v>217959512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4522546968</v>
      </c>
      <c r="P22" s="145"/>
      <c r="Q22" s="145"/>
      <c r="R22" s="51" t="str">
        <f>F22</f>
        <v>)</v>
      </c>
      <c r="S22" s="146">
        <f>G22</f>
        <v>217959512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1FF54-143A-49B8-8EEB-EDEE108A1665}">
  <sheetPr codeName="Sheet16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4522546967</v>
      </c>
      <c r="D22" s="145"/>
      <c r="E22" s="145"/>
      <c r="F22" s="51" t="s">
        <v>31</v>
      </c>
      <c r="G22" s="146">
        <v>219352809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4522546967</v>
      </c>
      <c r="P22" s="145"/>
      <c r="Q22" s="145"/>
      <c r="R22" s="51" t="str">
        <f>F22</f>
        <v>)</v>
      </c>
      <c r="S22" s="146">
        <f>G22</f>
        <v>219352809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19662-AA1F-4B0C-B9A2-CD6C3678EDBB}">
  <sheetPr codeName="Sheet17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이백구십삼만구천팔백육십원정    (  \</v>
      </c>
      <c r="D9" s="24"/>
      <c r="E9" s="24"/>
      <c r="F9" s="23"/>
      <c r="G9" s="127">
        <f>SUM(F20)</f>
        <v>2939860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이백구십삼만구천팔백육십원정    (  \</v>
      </c>
      <c r="P9" s="24"/>
      <c r="Q9" s="24"/>
      <c r="R9" s="23"/>
      <c r="S9" s="127">
        <f>SUM(R20)</f>
        <v>2939860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2672600</v>
      </c>
      <c r="G11" s="133">
        <f>E11*F11</f>
        <v>2672600</v>
      </c>
      <c r="H11" s="133"/>
      <c r="I11" s="63">
        <f>ROUND(SUM(G11*0.1),0)</f>
        <v>267260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2672600</v>
      </c>
      <c r="S11" s="133">
        <f>G11</f>
        <v>2672600</v>
      </c>
      <c r="T11" s="133"/>
      <c r="U11" s="63">
        <f>I11</f>
        <v>267260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2672600</v>
      </c>
      <c r="G19" s="149">
        <f>SUM(G11:H18)</f>
        <v>2672600</v>
      </c>
      <c r="H19" s="150"/>
      <c r="I19" s="75">
        <f>SUM(I11:I18)</f>
        <v>267260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2672600</v>
      </c>
      <c r="S19" s="149">
        <f>G19</f>
        <v>2672600</v>
      </c>
      <c r="T19" s="150"/>
      <c r="U19" s="75">
        <f>I19</f>
        <v>267260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2939860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2939860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4522546931</v>
      </c>
      <c r="D22" s="145"/>
      <c r="E22" s="145"/>
      <c r="F22" s="51" t="s">
        <v>31</v>
      </c>
      <c r="G22" s="146">
        <v>219352814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4522546931</v>
      </c>
      <c r="P22" s="145"/>
      <c r="Q22" s="145"/>
      <c r="R22" s="51" t="str">
        <f>F22</f>
        <v>)</v>
      </c>
      <c r="S22" s="146">
        <f>G22</f>
        <v>219352814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80103-ACF2-45FC-B898-059C2EA4EEA3}">
  <sheetPr codeName="Sheet18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4522546963</v>
      </c>
      <c r="D22" s="145"/>
      <c r="E22" s="145"/>
      <c r="F22" s="51" t="s">
        <v>31</v>
      </c>
      <c r="G22" s="146">
        <v>220511501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4522546963</v>
      </c>
      <c r="P22" s="145"/>
      <c r="Q22" s="145"/>
      <c r="R22" s="51" t="str">
        <f>F22</f>
        <v>)</v>
      </c>
      <c r="S22" s="146">
        <f>G22</f>
        <v>220511501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7B8A8-4179-4B6C-9C8D-C5BBA9290F16}">
  <sheetPr codeName="Sheet19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4522546928</v>
      </c>
      <c r="D22" s="145"/>
      <c r="E22" s="145"/>
      <c r="F22" s="51" t="s">
        <v>31</v>
      </c>
      <c r="G22" s="146">
        <v>223706205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4522546928</v>
      </c>
      <c r="P22" s="145"/>
      <c r="Q22" s="145"/>
      <c r="R22" s="51" t="str">
        <f>F22</f>
        <v>)</v>
      </c>
      <c r="S22" s="146">
        <f>G22</f>
        <v>223706205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6E5A-DD93-4507-9294-EB09D9C35207}">
  <sheetPr codeName="Sheet20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팔백구십오만일천삼십원정    (  \</v>
      </c>
      <c r="D9" s="24"/>
      <c r="E9" s="24"/>
      <c r="F9" s="23"/>
      <c r="G9" s="127">
        <f>SUM(F20)</f>
        <v>8951030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팔백구십오만일천삼십원정    (  \</v>
      </c>
      <c r="P9" s="24"/>
      <c r="Q9" s="24"/>
      <c r="R9" s="23"/>
      <c r="S9" s="127">
        <f>SUM(R20)</f>
        <v>8951030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8137300</v>
      </c>
      <c r="G11" s="133">
        <f>E11*F11</f>
        <v>8137300</v>
      </c>
      <c r="H11" s="133"/>
      <c r="I11" s="63">
        <f>ROUND(SUM(G11*0.1),0)</f>
        <v>813730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8137300</v>
      </c>
      <c r="S11" s="133">
        <f>G11</f>
        <v>8137300</v>
      </c>
      <c r="T11" s="133"/>
      <c r="U11" s="63">
        <f>I11</f>
        <v>813730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8137300</v>
      </c>
      <c r="G19" s="149">
        <f>SUM(G11:H18)</f>
        <v>8137300</v>
      </c>
      <c r="H19" s="150"/>
      <c r="I19" s="75">
        <f>SUM(I11:I18)</f>
        <v>813730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8137300</v>
      </c>
      <c r="S19" s="149">
        <f>G19</f>
        <v>8137300</v>
      </c>
      <c r="T19" s="150"/>
      <c r="U19" s="75">
        <f>I19</f>
        <v>813730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8951030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8951030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4522546935</v>
      </c>
      <c r="D22" s="145"/>
      <c r="E22" s="145"/>
      <c r="F22" s="51" t="s">
        <v>31</v>
      </c>
      <c r="G22" s="146">
        <v>223706207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4522546935</v>
      </c>
      <c r="P22" s="145"/>
      <c r="Q22" s="145"/>
      <c r="R22" s="51" t="str">
        <f>F22</f>
        <v>)</v>
      </c>
      <c r="S22" s="146">
        <f>G22</f>
        <v>223706207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6F3FC-4140-48E5-87EB-39633EBD3BD3}">
  <sheetPr codeName="Sheet21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사백사십칠만팔백사십원정    (  \</v>
      </c>
      <c r="D9" s="24"/>
      <c r="E9" s="24"/>
      <c r="F9" s="23"/>
      <c r="G9" s="127">
        <f>SUM(F20)</f>
        <v>4470840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사백사십칠만팔백사십원정    (  \</v>
      </c>
      <c r="P9" s="24"/>
      <c r="Q9" s="24"/>
      <c r="R9" s="23"/>
      <c r="S9" s="127">
        <f>SUM(R20)</f>
        <v>4470840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4064400</v>
      </c>
      <c r="G11" s="133">
        <f>E11*F11</f>
        <v>4064400</v>
      </c>
      <c r="H11" s="133"/>
      <c r="I11" s="63">
        <f>ROUND(SUM(G11*0.1),0)</f>
        <v>406440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4064400</v>
      </c>
      <c r="S11" s="133">
        <f>G11</f>
        <v>4064400</v>
      </c>
      <c r="T11" s="133"/>
      <c r="U11" s="63">
        <f>I11</f>
        <v>406440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4064400</v>
      </c>
      <c r="G19" s="149">
        <f>SUM(G11:H18)</f>
        <v>4064400</v>
      </c>
      <c r="H19" s="150"/>
      <c r="I19" s="75">
        <f>SUM(I11:I18)</f>
        <v>406440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4064400</v>
      </c>
      <c r="S19" s="149">
        <f>G19</f>
        <v>4064400</v>
      </c>
      <c r="T19" s="150"/>
      <c r="U19" s="75">
        <f>I19</f>
        <v>406440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4470840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4470840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4522546971</v>
      </c>
      <c r="D22" s="145"/>
      <c r="E22" s="145"/>
      <c r="F22" s="51" t="s">
        <v>31</v>
      </c>
      <c r="G22" s="146">
        <v>225381410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4522546971</v>
      </c>
      <c r="P22" s="145"/>
      <c r="Q22" s="145"/>
      <c r="R22" s="51" t="str">
        <f>F22</f>
        <v>)</v>
      </c>
      <c r="S22" s="146">
        <f>G22</f>
        <v>225381410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DD49-7F7D-437B-A2F0-4DB3873A3BDB}">
  <sheetPr codeName="Sheet22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칠백일십만오천칠백팔십원정    (  \</v>
      </c>
      <c r="D9" s="24"/>
      <c r="E9" s="24"/>
      <c r="F9" s="23"/>
      <c r="G9" s="127">
        <f>SUM(F20)</f>
        <v>7105780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칠백일십만오천칠백팔십원정    (  \</v>
      </c>
      <c r="P9" s="24"/>
      <c r="Q9" s="24"/>
      <c r="R9" s="23"/>
      <c r="S9" s="127">
        <f>SUM(R20)</f>
        <v>7105780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56</v>
      </c>
      <c r="D11" s="132"/>
      <c r="E11" s="34">
        <v>1</v>
      </c>
      <c r="F11" s="35">
        <v>6459800</v>
      </c>
      <c r="G11" s="133">
        <f>E11*F11</f>
        <v>6459800</v>
      </c>
      <c r="H11" s="133"/>
      <c r="I11" s="63">
        <f>ROUND(SUM(G11*0.1),0)</f>
        <v>645980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0247-06824</v>
      </c>
      <c r="P11" s="132"/>
      <c r="Q11" s="67">
        <v>1</v>
      </c>
      <c r="R11" s="35">
        <f>F11</f>
        <v>6459800</v>
      </c>
      <c r="S11" s="133">
        <f>G11</f>
        <v>6459800</v>
      </c>
      <c r="T11" s="133"/>
      <c r="U11" s="63">
        <f>I11</f>
        <v>645980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6459800</v>
      </c>
      <c r="G19" s="149">
        <f>SUM(G11:H18)</f>
        <v>6459800</v>
      </c>
      <c r="H19" s="150"/>
      <c r="I19" s="75">
        <f>SUM(I11:I18)</f>
        <v>645980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6459800</v>
      </c>
      <c r="S19" s="149">
        <f>G19</f>
        <v>6459800</v>
      </c>
      <c r="T19" s="150"/>
      <c r="U19" s="75">
        <f>I19</f>
        <v>645980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7105780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7105780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4522539871</v>
      </c>
      <c r="D22" s="145"/>
      <c r="E22" s="145"/>
      <c r="F22" s="51" t="s">
        <v>31</v>
      </c>
      <c r="G22" s="146">
        <v>181479015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4522539871</v>
      </c>
      <c r="P22" s="145"/>
      <c r="Q22" s="145"/>
      <c r="R22" s="51" t="str">
        <f>F22</f>
        <v>)</v>
      </c>
      <c r="S22" s="146">
        <f>G22</f>
        <v>181479015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1CFDD-5C16-4F37-8935-08791E328D41}">
  <sheetPr codeName="Sheet23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육백만팔천오백삼십원정    (  \</v>
      </c>
      <c r="D9" s="24"/>
      <c r="E9" s="24"/>
      <c r="F9" s="23"/>
      <c r="G9" s="127">
        <f>SUM(F20)</f>
        <v>6008530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육백만팔천오백삼십원정    (  \</v>
      </c>
      <c r="P9" s="24"/>
      <c r="Q9" s="24"/>
      <c r="R9" s="23"/>
      <c r="S9" s="127">
        <f>SUM(R20)</f>
        <v>6008530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67</v>
      </c>
      <c r="D11" s="132"/>
      <c r="E11" s="34">
        <v>1</v>
      </c>
      <c r="F11" s="35">
        <v>5462300</v>
      </c>
      <c r="G11" s="133">
        <f>E11*F11</f>
        <v>5462300</v>
      </c>
      <c r="H11" s="133"/>
      <c r="I11" s="63">
        <f>ROUND(SUM(G11*0.1),0)</f>
        <v>546230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0247-07525</v>
      </c>
      <c r="P11" s="132"/>
      <c r="Q11" s="67">
        <v>1</v>
      </c>
      <c r="R11" s="35">
        <f>F11</f>
        <v>5462300</v>
      </c>
      <c r="S11" s="133">
        <f>G11</f>
        <v>5462300</v>
      </c>
      <c r="T11" s="133"/>
      <c r="U11" s="63">
        <f>I11</f>
        <v>546230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5462300</v>
      </c>
      <c r="G19" s="149">
        <f>SUM(G11:H18)</f>
        <v>5462300</v>
      </c>
      <c r="H19" s="150"/>
      <c r="I19" s="75">
        <f>SUM(I11:I18)</f>
        <v>546230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5462300</v>
      </c>
      <c r="S19" s="149">
        <f>G19</f>
        <v>5462300</v>
      </c>
      <c r="T19" s="150"/>
      <c r="U19" s="75">
        <f>I19</f>
        <v>546230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6008530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6008530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4522562202</v>
      </c>
      <c r="D22" s="145"/>
      <c r="E22" s="145"/>
      <c r="F22" s="51" t="s">
        <v>31</v>
      </c>
      <c r="G22" s="146">
        <v>124588335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4522562202</v>
      </c>
      <c r="P22" s="145"/>
      <c r="Q22" s="145"/>
      <c r="R22" s="51" t="str">
        <f>F22</f>
        <v>)</v>
      </c>
      <c r="S22" s="146">
        <f>G22</f>
        <v>124588335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DEA21-72EB-4934-A14E-4E9EEE610112}">
  <sheetPr codeName="Sheet24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육백만팔천오백삼십원정    (  \</v>
      </c>
      <c r="D9" s="24"/>
      <c r="E9" s="24"/>
      <c r="F9" s="23"/>
      <c r="G9" s="127">
        <f>SUM(F20)</f>
        <v>6008530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육백만팔천오백삼십원정    (  \</v>
      </c>
      <c r="P9" s="24"/>
      <c r="Q9" s="24"/>
      <c r="R9" s="23"/>
      <c r="S9" s="127">
        <f>SUM(R20)</f>
        <v>6008530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67</v>
      </c>
      <c r="D11" s="132"/>
      <c r="E11" s="34">
        <v>1</v>
      </c>
      <c r="F11" s="35">
        <v>5462300</v>
      </c>
      <c r="G11" s="133">
        <f>E11*F11</f>
        <v>5462300</v>
      </c>
      <c r="H11" s="133"/>
      <c r="I11" s="63">
        <f>ROUND(SUM(G11*0.1),0)</f>
        <v>546230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0247-07525</v>
      </c>
      <c r="P11" s="132"/>
      <c r="Q11" s="67">
        <v>1</v>
      </c>
      <c r="R11" s="35">
        <f>F11</f>
        <v>5462300</v>
      </c>
      <c r="S11" s="133">
        <f>G11</f>
        <v>5462300</v>
      </c>
      <c r="T11" s="133"/>
      <c r="U11" s="63">
        <f>I11</f>
        <v>546230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5462300</v>
      </c>
      <c r="G19" s="149">
        <f>SUM(G11:H18)</f>
        <v>5462300</v>
      </c>
      <c r="H19" s="150"/>
      <c r="I19" s="75">
        <f>SUM(I11:I18)</f>
        <v>546230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5462300</v>
      </c>
      <c r="S19" s="149">
        <f>G19</f>
        <v>5462300</v>
      </c>
      <c r="T19" s="150"/>
      <c r="U19" s="75">
        <f>I19</f>
        <v>546230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6008530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6008530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4522562181</v>
      </c>
      <c r="D22" s="145"/>
      <c r="E22" s="145"/>
      <c r="F22" s="51" t="s">
        <v>31</v>
      </c>
      <c r="G22" s="146">
        <v>130895009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4522562181</v>
      </c>
      <c r="P22" s="145"/>
      <c r="Q22" s="145"/>
      <c r="R22" s="51" t="str">
        <f>F22</f>
        <v>)</v>
      </c>
      <c r="S22" s="146">
        <f>G22</f>
        <v>130895009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F8CD8-9B65-4558-90B8-1060A38C9EF1}">
  <sheetPr codeName="Sheet25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67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0247-07525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4522562205</v>
      </c>
      <c r="D22" s="145"/>
      <c r="E22" s="145"/>
      <c r="F22" s="51" t="s">
        <v>31</v>
      </c>
      <c r="G22" s="146">
        <v>130895008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4522562205</v>
      </c>
      <c r="P22" s="145"/>
      <c r="Q22" s="145"/>
      <c r="R22" s="51" t="str">
        <f>F22</f>
        <v>)</v>
      </c>
      <c r="S22" s="146">
        <f>G22</f>
        <v>130895008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D0C9D-D5C1-45DA-952B-A029738BC125}">
  <sheetPr codeName="Sheet26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67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0247-07525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4522562186</v>
      </c>
      <c r="D22" s="145"/>
      <c r="E22" s="145"/>
      <c r="F22" s="51" t="s">
        <v>31</v>
      </c>
      <c r="G22" s="146">
        <v>125037301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4522562186</v>
      </c>
      <c r="P22" s="145"/>
      <c r="Q22" s="145"/>
      <c r="R22" s="51" t="str">
        <f>F22</f>
        <v>)</v>
      </c>
      <c r="S22" s="146">
        <f>G22</f>
        <v>125037301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B605D-43DA-4A80-B2AD-5385FD6F7812}">
  <sheetPr codeName="Sheet27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4522838376</v>
      </c>
      <c r="D22" s="145"/>
      <c r="E22" s="145"/>
      <c r="F22" s="51" t="s">
        <v>31</v>
      </c>
      <c r="G22" s="146">
        <v>225381405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4522838376</v>
      </c>
      <c r="P22" s="145"/>
      <c r="Q22" s="145"/>
      <c r="R22" s="51" t="str">
        <f>F22</f>
        <v>)</v>
      </c>
      <c r="S22" s="146">
        <f>G22</f>
        <v>225381405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99A9-3EA9-44EE-A8A2-F5207A124748}">
  <sheetPr codeName="Sheet28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64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0247-10597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4522838370</v>
      </c>
      <c r="D22" s="145"/>
      <c r="E22" s="145"/>
      <c r="F22" s="51" t="s">
        <v>31</v>
      </c>
      <c r="G22" s="146">
        <v>243430904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4522838370</v>
      </c>
      <c r="P22" s="145"/>
      <c r="Q22" s="145"/>
      <c r="R22" s="51" t="str">
        <f>F22</f>
        <v>)</v>
      </c>
      <c r="S22" s="146">
        <f>G22</f>
        <v>243430904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9862A-5A83-493B-B004-90CC1FE558A1}">
  <sheetPr codeName="Sheet29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4522863918</v>
      </c>
      <c r="D22" s="145"/>
      <c r="E22" s="145"/>
      <c r="F22" s="51" t="s">
        <v>31</v>
      </c>
      <c r="G22" s="146">
        <v>210535606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4522863918</v>
      </c>
      <c r="P22" s="145"/>
      <c r="Q22" s="145"/>
      <c r="R22" s="51" t="str">
        <f>F22</f>
        <v>)</v>
      </c>
      <c r="S22" s="146">
        <f>G22</f>
        <v>210535606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ED2-FC60-4EF8-BB06-DDA773366627}">
  <sheetPr codeName="Sheet30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4522863917</v>
      </c>
      <c r="D22" s="145"/>
      <c r="E22" s="145"/>
      <c r="F22" s="51" t="s">
        <v>31</v>
      </c>
      <c r="G22" s="146">
        <v>202020004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4522863917</v>
      </c>
      <c r="P22" s="145"/>
      <c r="Q22" s="145"/>
      <c r="R22" s="51" t="str">
        <f>F22</f>
        <v>)</v>
      </c>
      <c r="S22" s="146">
        <f>G22</f>
        <v>202020004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0B2F2-CD30-40C1-8F92-073186C0863F}">
  <sheetPr codeName="Sheet31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4522863924</v>
      </c>
      <c r="D22" s="145"/>
      <c r="E22" s="145"/>
      <c r="F22" s="51" t="s">
        <v>31</v>
      </c>
      <c r="G22" s="146">
        <v>206703908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4522863924</v>
      </c>
      <c r="P22" s="145"/>
      <c r="Q22" s="145"/>
      <c r="R22" s="51" t="str">
        <f>F22</f>
        <v>)</v>
      </c>
      <c r="S22" s="146">
        <f>G22</f>
        <v>206703908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C0FCC-ED54-4D76-825D-59810855B939}">
  <sheetPr codeName="Sheet32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4522863922</v>
      </c>
      <c r="D22" s="145"/>
      <c r="E22" s="145"/>
      <c r="F22" s="51" t="s">
        <v>31</v>
      </c>
      <c r="G22" s="146">
        <v>215908421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4522863922</v>
      </c>
      <c r="P22" s="145"/>
      <c r="Q22" s="145"/>
      <c r="R22" s="51" t="str">
        <f>F22</f>
        <v>)</v>
      </c>
      <c r="S22" s="146">
        <f>G22</f>
        <v>215908421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8BEAD-04B4-493F-850C-BE637608E266}">
  <sheetPr codeName="Sheet33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4522863919</v>
      </c>
      <c r="D22" s="145"/>
      <c r="E22" s="145"/>
      <c r="F22" s="51" t="s">
        <v>31</v>
      </c>
      <c r="G22" s="146">
        <v>194837409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4522863919</v>
      </c>
      <c r="P22" s="145"/>
      <c r="Q22" s="145"/>
      <c r="R22" s="51" t="str">
        <f>F22</f>
        <v>)</v>
      </c>
      <c r="S22" s="146">
        <f>G22</f>
        <v>194837409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27D89-7130-465E-BD1B-8C635420EAE7}">
  <sheetPr codeName="Sheet34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4522863916</v>
      </c>
      <c r="D22" s="145"/>
      <c r="E22" s="145"/>
      <c r="F22" s="51" t="s">
        <v>31</v>
      </c>
      <c r="G22" s="146">
        <v>210535610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4522863916</v>
      </c>
      <c r="P22" s="145"/>
      <c r="Q22" s="145"/>
      <c r="R22" s="51" t="str">
        <f>F22</f>
        <v>)</v>
      </c>
      <c r="S22" s="146">
        <f>G22</f>
        <v>210535610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CB0A-0CF2-423A-8731-0594A901C07F}">
  <sheetPr codeName="Sheet35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4522854364</v>
      </c>
      <c r="D22" s="145"/>
      <c r="E22" s="145"/>
      <c r="F22" s="51" t="s">
        <v>31</v>
      </c>
      <c r="G22" s="146">
        <v>207130404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4522854364</v>
      </c>
      <c r="P22" s="145"/>
      <c r="Q22" s="145"/>
      <c r="R22" s="51" t="str">
        <f>F22</f>
        <v>)</v>
      </c>
      <c r="S22" s="146">
        <f>G22</f>
        <v>207130404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62045-0DDD-4114-B7EA-C859EA09515F}">
  <sheetPr codeName="Sheet36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4522863920</v>
      </c>
      <c r="D22" s="145"/>
      <c r="E22" s="145"/>
      <c r="F22" s="51" t="s">
        <v>31</v>
      </c>
      <c r="G22" s="146">
        <v>210535620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4522863920</v>
      </c>
      <c r="P22" s="145"/>
      <c r="Q22" s="145"/>
      <c r="R22" s="51" t="str">
        <f>F22</f>
        <v>)</v>
      </c>
      <c r="S22" s="146">
        <f>G22</f>
        <v>210535620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22A-6FC0-41C5-98C6-CDC16F46922B}">
  <sheetPr codeName="Sheet37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4522865630</v>
      </c>
      <c r="D22" s="145"/>
      <c r="E22" s="145"/>
      <c r="F22" s="51" t="s">
        <v>31</v>
      </c>
      <c r="G22" s="146">
        <v>201351420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4522865630</v>
      </c>
      <c r="P22" s="145"/>
      <c r="Q22" s="145"/>
      <c r="R22" s="51" t="str">
        <f>F22</f>
        <v>)</v>
      </c>
      <c r="S22" s="146">
        <f>G22</f>
        <v>201351420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8AFC3-72A7-472C-B44F-EEB024C855E4}">
  <sheetPr codeName="Sheet38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4522865615</v>
      </c>
      <c r="D22" s="145"/>
      <c r="E22" s="145"/>
      <c r="F22" s="51" t="s">
        <v>31</v>
      </c>
      <c r="G22" s="146">
        <v>202020003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4522865615</v>
      </c>
      <c r="P22" s="145"/>
      <c r="Q22" s="145"/>
      <c r="R22" s="51" t="str">
        <f>F22</f>
        <v>)</v>
      </c>
      <c r="S22" s="146">
        <f>G22</f>
        <v>202020003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9475C-AF5B-4045-BF72-8BFEA8838480}">
  <sheetPr codeName="Sheet39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4522865627</v>
      </c>
      <c r="D22" s="145"/>
      <c r="E22" s="145"/>
      <c r="F22" s="51" t="s">
        <v>31</v>
      </c>
      <c r="G22" s="146">
        <v>206703903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4522865627</v>
      </c>
      <c r="P22" s="145"/>
      <c r="Q22" s="145"/>
      <c r="R22" s="51" t="str">
        <f>F22</f>
        <v>)</v>
      </c>
      <c r="S22" s="146">
        <f>G22</f>
        <v>206703903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8AAE3-05E8-43F6-BEC5-EBBF815A605D}">
  <sheetPr codeName="Sheet40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4522865599</v>
      </c>
      <c r="D22" s="145"/>
      <c r="E22" s="145"/>
      <c r="F22" s="51" t="s">
        <v>31</v>
      </c>
      <c r="G22" s="146">
        <v>206703911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4522865599</v>
      </c>
      <c r="P22" s="145"/>
      <c r="Q22" s="145"/>
      <c r="R22" s="51" t="str">
        <f>F22</f>
        <v>)</v>
      </c>
      <c r="S22" s="146">
        <f>G22</f>
        <v>206703911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69A3F-337C-475C-84AF-739941C7595E}">
  <sheetPr codeName="Sheet41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4522865612</v>
      </c>
      <c r="D22" s="145"/>
      <c r="E22" s="145"/>
      <c r="F22" s="51" t="s">
        <v>31</v>
      </c>
      <c r="G22" s="146">
        <v>201351419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4522865612</v>
      </c>
      <c r="P22" s="145"/>
      <c r="Q22" s="145"/>
      <c r="R22" s="51" t="str">
        <f>F22</f>
        <v>)</v>
      </c>
      <c r="S22" s="146">
        <f>G22</f>
        <v>201351419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41</vt:i4>
      </vt:variant>
      <vt:variant>
        <vt:lpstr>이름 지정된 범위</vt:lpstr>
      </vt:variant>
      <vt:variant>
        <vt:i4>41</vt:i4>
      </vt:variant>
    </vt:vector>
  </HeadingPairs>
  <TitlesOfParts>
    <vt:vector size="82" baseType="lpstr">
      <vt:lpstr>YJLee</vt:lpstr>
      <vt:lpstr>PO</vt:lpstr>
      <vt:lpstr>4522449554</vt:lpstr>
      <vt:lpstr>4522449547</vt:lpstr>
      <vt:lpstr>4522449557</vt:lpstr>
      <vt:lpstr>4522449544</vt:lpstr>
      <vt:lpstr>4522449556</vt:lpstr>
      <vt:lpstr>4522449549</vt:lpstr>
      <vt:lpstr>4522449546</vt:lpstr>
      <vt:lpstr>4522459401</vt:lpstr>
      <vt:lpstr>4522459389</vt:lpstr>
      <vt:lpstr>4522520232</vt:lpstr>
      <vt:lpstr>4522520207</vt:lpstr>
      <vt:lpstr>4522520209</vt:lpstr>
      <vt:lpstr>4522546968</vt:lpstr>
      <vt:lpstr>4522546967</vt:lpstr>
      <vt:lpstr>4522546931</vt:lpstr>
      <vt:lpstr>4522546963</vt:lpstr>
      <vt:lpstr>4522546928</vt:lpstr>
      <vt:lpstr>4522546935</vt:lpstr>
      <vt:lpstr>4522546971</vt:lpstr>
      <vt:lpstr>4522539871</vt:lpstr>
      <vt:lpstr>4522562202</vt:lpstr>
      <vt:lpstr>4522562181</vt:lpstr>
      <vt:lpstr>4522562205</vt:lpstr>
      <vt:lpstr>4522562186</vt:lpstr>
      <vt:lpstr>4522838376</vt:lpstr>
      <vt:lpstr>4522838370</vt:lpstr>
      <vt:lpstr>4522863918</vt:lpstr>
      <vt:lpstr>4522863917</vt:lpstr>
      <vt:lpstr>4522863924</vt:lpstr>
      <vt:lpstr>4522863922</vt:lpstr>
      <vt:lpstr>4522863919</vt:lpstr>
      <vt:lpstr>4522863916</vt:lpstr>
      <vt:lpstr>4522854364</vt:lpstr>
      <vt:lpstr>4522863920</vt:lpstr>
      <vt:lpstr>4522865630</vt:lpstr>
      <vt:lpstr>4522865615</vt:lpstr>
      <vt:lpstr>4522865627</vt:lpstr>
      <vt:lpstr>4522865599</vt:lpstr>
      <vt:lpstr>4522865612</vt:lpstr>
      <vt:lpstr>PO</vt:lpstr>
      <vt:lpstr>'4522449544'!Print_Area</vt:lpstr>
      <vt:lpstr>'4522449546'!Print_Area</vt:lpstr>
      <vt:lpstr>'4522449547'!Print_Area</vt:lpstr>
      <vt:lpstr>'4522449549'!Print_Area</vt:lpstr>
      <vt:lpstr>'4522449554'!Print_Area</vt:lpstr>
      <vt:lpstr>'4522449556'!Print_Area</vt:lpstr>
      <vt:lpstr>'4522449557'!Print_Area</vt:lpstr>
      <vt:lpstr>'4522459389'!Print_Area</vt:lpstr>
      <vt:lpstr>'4522459401'!Print_Area</vt:lpstr>
      <vt:lpstr>'4522520207'!Print_Area</vt:lpstr>
      <vt:lpstr>'4522520209'!Print_Area</vt:lpstr>
      <vt:lpstr>'4522520232'!Print_Area</vt:lpstr>
      <vt:lpstr>'4522539871'!Print_Area</vt:lpstr>
      <vt:lpstr>'4522546928'!Print_Area</vt:lpstr>
      <vt:lpstr>'4522546931'!Print_Area</vt:lpstr>
      <vt:lpstr>'4522546935'!Print_Area</vt:lpstr>
      <vt:lpstr>'4522546963'!Print_Area</vt:lpstr>
      <vt:lpstr>'4522546967'!Print_Area</vt:lpstr>
      <vt:lpstr>'4522546968'!Print_Area</vt:lpstr>
      <vt:lpstr>'4522546971'!Print_Area</vt:lpstr>
      <vt:lpstr>'4522562181'!Print_Area</vt:lpstr>
      <vt:lpstr>'4522562186'!Print_Area</vt:lpstr>
      <vt:lpstr>'4522562202'!Print_Area</vt:lpstr>
      <vt:lpstr>'4522562205'!Print_Area</vt:lpstr>
      <vt:lpstr>'4522838370'!Print_Area</vt:lpstr>
      <vt:lpstr>'4522838376'!Print_Area</vt:lpstr>
      <vt:lpstr>'4522854364'!Print_Area</vt:lpstr>
      <vt:lpstr>'4522863916'!Print_Area</vt:lpstr>
      <vt:lpstr>'4522863917'!Print_Area</vt:lpstr>
      <vt:lpstr>'4522863918'!Print_Area</vt:lpstr>
      <vt:lpstr>'4522863919'!Print_Area</vt:lpstr>
      <vt:lpstr>'4522863920'!Print_Area</vt:lpstr>
      <vt:lpstr>'4522863922'!Print_Area</vt:lpstr>
      <vt:lpstr>'4522863924'!Print_Area</vt:lpstr>
      <vt:lpstr>'4522865599'!Print_Area</vt:lpstr>
      <vt:lpstr>'4522865612'!Print_Area</vt:lpstr>
      <vt:lpstr>'4522865615'!Print_Area</vt:lpstr>
      <vt:lpstr>'4522865627'!Print_Area</vt:lpstr>
      <vt:lpstr>'4522865630'!Print_Area</vt:lpstr>
      <vt:lpstr>PO!Print_Area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yjyang</dc:creator>
  <cp:lastModifiedBy>최해인</cp:lastModifiedBy>
  <cp:lastPrinted>2026-07-03T01:22:58Z</cp:lastPrinted>
  <dcterms:created xsi:type="dcterms:W3CDTF">2017-08-23T10:53:33Z</dcterms:created>
  <dcterms:modified xsi:type="dcterms:W3CDTF">2026-07-09T02:19:56Z</dcterms:modified>
</cp:coreProperties>
</file>